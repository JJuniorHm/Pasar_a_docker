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A7D82698-A76A-4FF2-A687-A5A3CAE16868}" xr6:coauthVersionLast="47" xr6:coauthVersionMax="47" xr10:uidLastSave="{00000000-0000-0000-0000-000000000000}"/>
  <bookViews>
    <workbookView xWindow="-120" yWindow="-120" windowWidth="29040" windowHeight="15720" tabRatio="820" activeTab="3" xr2:uid="{00000000-000D-0000-FFFF-FFFF00000000}"/>
  </bookViews>
  <sheets>
    <sheet name="1 INTRODUCCION" sheetId="48" r:id="rId1"/>
    <sheet name="2 Roles" sheetId="47" r:id="rId2"/>
    <sheet name="3 Product Backlog" sheetId="24" r:id="rId3"/>
    <sheet name="4 Criterio de Aceptación" sheetId="25" r:id="rId4"/>
    <sheet name="5 Sprints" sheetId="26" r:id="rId5"/>
    <sheet name="6 ESTIMACION - PRODUCT BACKLOG" sheetId="1" r:id="rId6"/>
    <sheet name="7 SEGUIMIENTO -SPRINT BACKLOG01" sheetId="2" r:id="rId7"/>
    <sheet name="DIA 1" sheetId="6" r:id="rId8"/>
    <sheet name="Burndown Chart01" sheetId="46" r:id="rId9"/>
  </sheets>
  <definedNames>
    <definedName name="_xlnm.Print_Area" localSheetId="2">'3 Product Backlog'!$A$1:$I$20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6" l="1"/>
  <c r="G7" i="46"/>
  <c r="F8" i="46"/>
  <c r="G8" i="46"/>
  <c r="F9" i="46"/>
  <c r="G9" i="46"/>
  <c r="F10" i="46"/>
  <c r="G10" i="46"/>
  <c r="F11" i="46"/>
  <c r="G11" i="46"/>
  <c r="F12" i="46"/>
  <c r="G12" i="46"/>
  <c r="F13" i="46"/>
  <c r="G13" i="46"/>
  <c r="F14" i="46"/>
  <c r="G14" i="46"/>
  <c r="F15" i="46"/>
  <c r="G15" i="46"/>
  <c r="H3" i="6"/>
  <c r="G3" i="6" s="1"/>
  <c r="H4" i="6"/>
  <c r="G4" i="6" s="1"/>
  <c r="H5" i="6"/>
  <c r="G5" i="6" s="1"/>
  <c r="H6" i="6"/>
  <c r="G6" i="6" s="1"/>
  <c r="H7" i="6"/>
  <c r="H8" i="6"/>
  <c r="G8" i="6" s="1"/>
  <c r="H9" i="6"/>
  <c r="G9" i="6" s="1"/>
  <c r="H10" i="6"/>
  <c r="G10" i="6" s="1"/>
  <c r="H11" i="6"/>
  <c r="H12" i="6"/>
  <c r="G12" i="6" s="1"/>
  <c r="H13" i="6"/>
  <c r="G13" i="6" s="1"/>
  <c r="H14" i="6"/>
  <c r="G14" i="6" s="1"/>
  <c r="H15" i="6"/>
  <c r="G15" i="6" s="1"/>
  <c r="H16" i="6"/>
  <c r="H17" i="6"/>
  <c r="G17" i="6" s="1"/>
  <c r="G7" i="6"/>
  <c r="G11" i="6"/>
  <c r="G16" i="6"/>
  <c r="H2" i="6"/>
  <c r="G2" i="6" s="1"/>
  <c r="D21" i="2" l="1"/>
  <c r="C6" i="46"/>
  <c r="G6" i="46"/>
  <c r="F6" i="46"/>
  <c r="G5" i="46"/>
  <c r="A23" i="6"/>
  <c r="A24" i="6"/>
  <c r="A25" i="6"/>
  <c r="A26" i="6"/>
  <c r="A22" i="6"/>
  <c r="D19" i="2"/>
  <c r="D24" i="2" s="1"/>
  <c r="D23" i="2"/>
  <c r="E22" i="1"/>
  <c r="E18" i="1"/>
  <c r="E7" i="46" l="1"/>
  <c r="E11" i="46"/>
  <c r="E10" i="46"/>
  <c r="E14" i="46"/>
  <c r="E12" i="46"/>
  <c r="E9" i="46"/>
  <c r="E13" i="46"/>
  <c r="E8" i="46"/>
  <c r="E15" i="46"/>
  <c r="E6" i="46"/>
  <c r="E23" i="1"/>
  <c r="H19" i="6"/>
  <c r="I7" i="6" l="1"/>
  <c r="I8" i="6"/>
  <c r="I9" i="6"/>
  <c r="I10" i="6"/>
  <c r="I11" i="6"/>
  <c r="I12" i="6"/>
  <c r="I13" i="6"/>
  <c r="I14" i="6"/>
  <c r="I15" i="6"/>
  <c r="I16" i="6"/>
  <c r="I17" i="6"/>
  <c r="I3" i="6"/>
  <c r="I4" i="6"/>
  <c r="I5" i="6"/>
  <c r="I6" i="6"/>
  <c r="I2" i="6"/>
  <c r="H2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Tiempo extra para el dia
</t>
        </r>
      </text>
    </comment>
  </commentList>
</comments>
</file>

<file path=xl/sharedStrings.xml><?xml version="1.0" encoding="utf-8"?>
<sst xmlns="http://schemas.openxmlformats.org/spreadsheetml/2006/main" count="239" uniqueCount="157">
  <si>
    <t>ID</t>
  </si>
  <si>
    <t>PRIORIDAD</t>
  </si>
  <si>
    <t>#</t>
  </si>
  <si>
    <t>DESCRIPCION</t>
  </si>
  <si>
    <t>ESTIMACION</t>
  </si>
  <si>
    <t>TAREA</t>
  </si>
  <si>
    <t>RESPONSABLE</t>
  </si>
  <si>
    <t>ESTADO</t>
  </si>
  <si>
    <t>TOTAL</t>
  </si>
  <si>
    <t># DE DIAS DE TRABAJO</t>
  </si>
  <si>
    <t>TRABAJADORES</t>
  </si>
  <si>
    <t xml:space="preserve">TIEMPO 
ESTIMADO </t>
  </si>
  <si>
    <t>TIEMPO
ADICIONAL</t>
  </si>
  <si>
    <t>TIEMPO
TRABAJADO</t>
  </si>
  <si>
    <t>TIEMPO
FALTANTE</t>
  </si>
  <si>
    <t>HORAS
AVANZADAS</t>
  </si>
  <si>
    <t>TOTAL HORAS AVANZADAS</t>
  </si>
  <si>
    <t>TAREAS FINALIZADAS</t>
  </si>
  <si>
    <t>REQUERIMIENTOS FINALIZADOS</t>
  </si>
  <si>
    <t># TRABAJADORES</t>
  </si>
  <si>
    <t># HORAS AL DIA POR TRABAJADOR</t>
  </si>
  <si>
    <t># HORAS TOTALES POR DIA</t>
  </si>
  <si>
    <t>T01</t>
  </si>
  <si>
    <t>T02</t>
  </si>
  <si>
    <t>T03</t>
  </si>
  <si>
    <t>T04</t>
  </si>
  <si>
    <t>T05</t>
  </si>
  <si>
    <t>Desarrollo ágil: Pila de Producto (Product Backlog)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</si>
  <si>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</si>
  <si>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</si>
  <si>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</si>
  <si>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</si>
  <si>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</si>
  <si>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</si>
  <si>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</si>
  <si>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</si>
  <si>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CRITERIOS DE ACEPTACIÓN</t>
  </si>
  <si>
    <t>Criterio de aceptación</t>
  </si>
  <si>
    <t>Comentario Adicional</t>
  </si>
  <si>
    <t>SPRINT BACKLOG 01</t>
  </si>
  <si>
    <t>Product Backlog Item</t>
  </si>
  <si>
    <t>Tarea</t>
  </si>
  <si>
    <t>Estimación Original (HORAS)</t>
  </si>
  <si>
    <t>HISTORIA</t>
  </si>
  <si>
    <t>NO INICIADA</t>
  </si>
  <si>
    <t>Burn Down Chart</t>
  </si>
  <si>
    <t>Burned down</t>
  </si>
  <si>
    <t>Balance</t>
  </si>
  <si>
    <t>Hecho Hoy</t>
  </si>
  <si>
    <t>Día</t>
  </si>
  <si>
    <t>Planeado</t>
  </si>
  <si>
    <t>Actual</t>
  </si>
  <si>
    <t>Roles del equipo de trabajo</t>
  </si>
  <si>
    <t>Rol</t>
  </si>
  <si>
    <t>Responsable(s)</t>
  </si>
  <si>
    <t xml:space="preserve">Perfil </t>
  </si>
  <si>
    <t>Product Owner</t>
  </si>
  <si>
    <t>Scrum Master</t>
  </si>
  <si>
    <t>Equipo Scrum</t>
  </si>
  <si>
    <t>Stakeholders</t>
  </si>
  <si>
    <t>Scrum Guidance Body</t>
  </si>
  <si>
    <t>Vendedores</t>
  </si>
  <si>
    <t>Proyecto</t>
  </si>
  <si>
    <t>Empresa</t>
  </si>
  <si>
    <t>Descripcion de la empresa</t>
  </si>
  <si>
    <t>Alcance ( Objetivo ) del proyecto</t>
  </si>
  <si>
    <t>Integrantes</t>
  </si>
  <si>
    <t>Requerimientos Funcionales</t>
  </si>
  <si>
    <t>Responsable</t>
  </si>
  <si>
    <t>SPRINT BACKLOG 02</t>
  </si>
  <si>
    <t>SPRINT BACKLOG 03</t>
  </si>
  <si>
    <t>CONSITEC SAC</t>
  </si>
  <si>
    <t>CONSITEC SAC ES UN EMPRESA DEDICADA A LA VENTA DE TECNOLOGIA OFRESIENDO UNA AMPLIA GAMA DE PRODUCTOS COMO LAPTOPS COMPUTADORAS IMPRESORAS.ENTRE OTROS.SU ENFOQUE ES PROPORCIONAL SOLUCIONES TECNOLOGICOS QUE SATISFAGAN LAS NESISIDADES DE SUS CLIENTES.78</t>
  </si>
  <si>
    <t>Herrera Marcelo, Junior Roman</t>
  </si>
  <si>
    <t>TINEO OROSTO, Noel Erik</t>
  </si>
  <si>
    <t>APLICATIVO WEB Y MOVIL DE GESTION DE PROCESOS INTERNOS PARA LA EMPRESA COMSITEC S.A.C - HUANCAYO - 2025</t>
  </si>
  <si>
    <t>El proyecto tiene como objetivo desarrollar un aplicativo web y móvil que permita gestionar y optimizar los procesos internos de la empresa Comsitec S.A.C., integrando módulos para el control de usuarios, asignación de tareas, gestión de garantías y visualización de indicadores.
Con esta herramienta se busca automatizar operaciones, reducir errores manuales y mejorar la eficiencia operativa mediante el acceso a información actualizada en tiempo real.</t>
  </si>
  <si>
    <t xml:space="preserve">1.- Login y autenticacion de usuarios </t>
  </si>
  <si>
    <t xml:space="preserve">2.- Modulo de Privilegios </t>
  </si>
  <si>
    <t xml:space="preserve">3.- Modulo de gestion de usuarios </t>
  </si>
  <si>
    <t xml:space="preserve">4.- Modulo de Tareas </t>
  </si>
  <si>
    <t xml:space="preserve">5.- Modulo de garantias </t>
  </si>
  <si>
    <t>HERRERA MARCELO, Junior Roman</t>
  </si>
  <si>
    <t xml:space="preserve">TINEO OROSCO, NOEL ERIK </t>
  </si>
  <si>
    <t xml:space="preserve">HERRERA MARCELO, Junior Roman
TINEO OROSOCO NOEL ERIK </t>
  </si>
  <si>
    <t>Analista y fullstack Developer: Encargado del levantamiento de requerimientos, priorización de funcionalidades y validación de los entregables con el cliente. Participa en el desarrollo tanto del backend como del frontend.</t>
  </si>
  <si>
    <t>Desarrollador Fullstack y Coordinador Tecnico: Supervisa la aplicación de la metodología Scrum, gestiona los sprints y participa activamente en la codificación y pruebas del sistema.</t>
  </si>
  <si>
    <t>Equipo de desarrollo Full Stack. Responsable del análisis, diseño, programación, integración de base de datos, pruebas y documentación del aplicativo web y móvil.</t>
  </si>
  <si>
    <t>Usuarios clave y personal administrativo. Proporcionan los requerimientos funcionales y validan las funcionalidades desarrolladas.</t>
  </si>
  <si>
    <t>Representantes De la empresa Comsitec S.A.C</t>
  </si>
  <si>
    <t>Docente asesor del proyecto</t>
  </si>
  <si>
    <t>Asesor metodológico. Supervisa el cumplimiento del marco de trabajo Scrum y orienta el desarrollo del proyecto.</t>
  </si>
  <si>
    <t>Personal del área de ventas de Comsitec S.A.C.</t>
  </si>
  <si>
    <t>Usuarios operativos. Utilizan el aplicativo en la gestión diaria de tareas, garantías y reportes, brindando retroalimentación sobre su usabilidad y funcionalidad.</t>
  </si>
  <si>
    <t>HU-01</t>
  </si>
  <si>
    <t>Como usuario, quiero iniciar sesión con mis credenciales para acceder al sistema según mi rol asignado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</si>
  <si>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</si>
  <si>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</si>
  <si>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</si>
  <si>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</si>
  <si>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</si>
  <si>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</si>
  <si>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</si>
  <si>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</si>
  <si>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</si>
  <si>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</si>
  <si>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</si>
  <si>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LOGIN</t>
  </si>
  <si>
    <t>5 PTS</t>
  </si>
  <si>
    <t>Sprint 1</t>
  </si>
  <si>
    <t xml:space="preserve">Alta </t>
  </si>
  <si>
    <t xml:space="preserve">Funcionalidad escencial para el acceso </t>
  </si>
  <si>
    <t xml:space="preserve">Como usuario deseo recuperar mi contraseña en caso de olvido para poder ingresar nuevamente </t>
  </si>
  <si>
    <t xml:space="preserve">EN DESARROLLO </t>
  </si>
  <si>
    <t xml:space="preserve">3 PTS </t>
  </si>
  <si>
    <t xml:space="preserve">Sprint 1 </t>
  </si>
  <si>
    <t xml:space="preserve">Media </t>
  </si>
  <si>
    <t xml:space="preserve">Se integrara vaidacion por Correo electronicop </t>
  </si>
  <si>
    <t xml:space="preserve">Como administrador, quiero registrar nuevos usuarios para gestionar el acceso al sistema </t>
  </si>
  <si>
    <t xml:space="preserve">PRIVILEGIOS </t>
  </si>
  <si>
    <t>COMPLETADO</t>
  </si>
  <si>
    <t>4 PTS</t>
  </si>
  <si>
    <t xml:space="preserve">Permite crear cuentas de empleados o tecnicos </t>
  </si>
  <si>
    <t>USUARIOS</t>
  </si>
  <si>
    <t xml:space="preserve">Como administrador deseo asignar roles y permisos a cada usuario </t>
  </si>
  <si>
    <t xml:space="preserve">4 PTS </t>
  </si>
  <si>
    <t xml:space="preserve">Sprint 2 </t>
  </si>
  <si>
    <t xml:space="preserve">Determinar el nivel de accesos según cargo </t>
  </si>
  <si>
    <t xml:space="preserve">Como empleado quiero creary asignar tareas para organizar el trabajo diario </t>
  </si>
  <si>
    <t>TAREAS</t>
  </si>
  <si>
    <t xml:space="preserve">5 PTS </t>
  </si>
  <si>
    <t>Sprint 2</t>
  </si>
  <si>
    <t>Base del módulo de productividad.</t>
  </si>
  <si>
    <t>Como usuario, deseo actualizar el estado de mis tareas (pendiente, en progreso).</t>
  </si>
  <si>
    <t xml:space="preserve">PENDIENTE </t>
  </si>
  <si>
    <t>Como usuario, quiero adjuntar archivos o comentarios a mis tareas como evidencia</t>
  </si>
  <si>
    <t>Sprint 3</t>
  </si>
  <si>
    <t>Vinculado al tablero Kanban del dashboard.</t>
  </si>
  <si>
    <t>Permite registrar evidencias visuales.</t>
  </si>
  <si>
    <t>Como técnico, deseo registrar productos con sus fechas de compra y vencimiento de garantí</t>
  </si>
  <si>
    <t>GARANTIAS</t>
  </si>
  <si>
    <t xml:space="preserve">Control de productos vendidos con cobertura </t>
  </si>
  <si>
    <t>Como técnico, quiero recibir alertas automáticas cuando una garantía esté próxima a vencer</t>
  </si>
  <si>
    <t>Incluye sistema de notificaciones automaticas</t>
  </si>
  <si>
    <t>Como gerente, quiero visualizar estadísticas y reportes generales para evaluar rendimiento del personal y tareas.</t>
  </si>
  <si>
    <t>6 pts</t>
  </si>
  <si>
    <t xml:space="preserve">Sprint 3 </t>
  </si>
  <si>
    <t xml:space="preserve">Presentara graficos dinamicos y metricas globales </t>
  </si>
  <si>
    <t>Como usuario, deseo generar reportes automáticos en PDF o Excel de mis tareas o garantías.</t>
  </si>
  <si>
    <t xml:space="preserve">3 Pts </t>
  </si>
  <si>
    <t xml:space="preserve">Sprint 4 </t>
  </si>
  <si>
    <t xml:space="preserve">Descarga de informe automaticamente </t>
  </si>
  <si>
    <t>Como administrador, quiero mantener un registro de todas las acciones para garantizar trazabilidad.</t>
  </si>
  <si>
    <t>DASHBOARD</t>
  </si>
  <si>
    <t>REPORTES</t>
  </si>
  <si>
    <t xml:space="preserve">AUDITORIA </t>
  </si>
  <si>
    <t xml:space="preserve">Guarda logs de opeciones internas en Base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</si>
</sst>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&quot;h&quot;"/>
    <numFmt numFmtId="165" formatCode="0.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"/>
      <name val="Georgia"/>
      <family val="1"/>
    </font>
    <font>
      <b/>
      <sz val="24"/>
      <color theme="0"/>
      <name val="Georgia"/>
      <family val="1"/>
    </font>
    <font>
      <sz val="11"/>
      <color theme="1"/>
      <name val="Georgia"/>
      <family val="1"/>
    </font>
    <font>
      <b/>
      <sz val="9"/>
      <color theme="0"/>
      <name val="Georgia"/>
      <family val="1"/>
    </font>
    <font>
      <sz val="9"/>
      <color rgb="FF666666"/>
      <name val="Georgia"/>
      <family val="1"/>
    </font>
    <font>
      <b/>
      <sz val="9"/>
      <color theme="4"/>
      <name val="Georgia"/>
      <family val="1"/>
    </font>
    <font>
      <b/>
      <sz val="9"/>
      <color rgb="FFC00000"/>
      <name val="Georgia"/>
      <family val="1"/>
    </font>
    <font>
      <sz val="8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indexed="22"/>
      </left>
      <right/>
      <top style="thin">
        <color rgb="FF666666"/>
      </top>
      <bottom/>
      <diagonal/>
    </border>
    <border>
      <left/>
      <right style="thin">
        <color indexed="22"/>
      </right>
      <top style="thin">
        <color rgb="FF666666"/>
      </top>
      <bottom/>
      <diagonal/>
    </border>
    <border>
      <left style="thin">
        <color indexed="22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rgb="FF666666"/>
      </right>
      <top/>
      <bottom style="thin">
        <color indexed="22"/>
      </bottom>
      <diagonal/>
    </border>
    <border>
      <left style="thin">
        <color rgb="FF666666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666666"/>
      </right>
      <top style="thin">
        <color indexed="22"/>
      </top>
      <bottom style="thin">
        <color indexed="22"/>
      </bottom>
      <diagonal/>
    </border>
    <border>
      <left style="thin">
        <color rgb="FF666666"/>
      </left>
      <right style="thin">
        <color indexed="22"/>
      </right>
      <top style="thin">
        <color indexed="22"/>
      </top>
      <bottom style="thin">
        <color rgb="FF66666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0" xfId="0" applyFont="1" applyFill="1"/>
    <xf numFmtId="0" fontId="6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164" fontId="21" fillId="0" borderId="1" xfId="0" applyNumberFormat="1" applyFont="1" applyBorder="1"/>
    <xf numFmtId="0" fontId="21" fillId="0" borderId="0" xfId="0" applyFont="1"/>
    <xf numFmtId="0" fontId="21" fillId="0" borderId="1" xfId="0" applyFont="1" applyBorder="1"/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24" fillId="0" borderId="1" xfId="0" applyNumberFormat="1" applyFont="1" applyBorder="1"/>
    <xf numFmtId="0" fontId="24" fillId="0" borderId="0" xfId="0" applyFont="1"/>
    <xf numFmtId="0" fontId="24" fillId="0" borderId="1" xfId="0" applyFont="1" applyBorder="1"/>
    <xf numFmtId="0" fontId="20" fillId="7" borderId="2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20" fillId="7" borderId="23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25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25" fillId="0" borderId="1" xfId="0" applyFont="1" applyBorder="1" applyAlignment="1">
      <alignment horizontal="left" wrapText="1"/>
    </xf>
    <xf numFmtId="0" fontId="25" fillId="0" borderId="22" xfId="0" applyFont="1" applyBorder="1" applyAlignment="1">
      <alignment horizontal="left" wrapText="1"/>
    </xf>
    <xf numFmtId="0" fontId="23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22" fillId="8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5" borderId="6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 wrapText="1"/>
    </xf>
    <xf numFmtId="0" fontId="15" fillId="5" borderId="12" xfId="0" applyFont="1" applyFill="1" applyBorder="1" applyAlignment="1">
      <alignment horizontal="center" wrapText="1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'Burndown Chart01'!$G$3</c:f>
              <c:strCache>
                <c:ptCount val="1"/>
                <c:pt idx="0">
                  <c:v>Hecho Hoy</c:v>
                </c:pt>
              </c:strCache>
            </c:strRef>
          </c:tx>
          <c:spPr>
            <a:gradFill>
              <a:gsLst>
                <a:gs pos="29000">
                  <a:srgbClr val="006666"/>
                </a:gs>
                <a:gs pos="79000">
                  <a:srgbClr val="009999"/>
                </a:gs>
              </a:gsLst>
              <a:lin ang="5400000" scaled="0"/>
            </a:gradFill>
            <a:ln>
              <a:solidFill>
                <a:srgbClr val="006666"/>
              </a:solidFill>
            </a:ln>
          </c:spPr>
          <c:invertIfNegative val="0"/>
          <c:cat>
            <c:numRef>
              <c:f>'Burndown Chart01'!$B$5:$B$25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Chart01'!$G$5:$G$25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A-41C8-9E73-91720B9A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70485919"/>
        <c:axId val="1"/>
      </c:barChart>
      <c:lineChart>
        <c:grouping val="standard"/>
        <c:varyColors val="0"/>
        <c:ser>
          <c:idx val="0"/>
          <c:order val="0"/>
          <c:tx>
            <c:strRef>
              <c:f>'Burndown Chart01'!$E$4</c:f>
              <c:strCache>
                <c:ptCount val="1"/>
                <c:pt idx="0">
                  <c:v>Planeado</c:v>
                </c:pt>
              </c:strCache>
            </c:strRef>
          </c:tx>
          <c:spPr>
            <a:ln w="25400">
              <a:solidFill>
                <a:srgbClr val="00CC00"/>
              </a:solidFill>
            </a:ln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aseline="0">
                    <a:solidFill>
                      <a:schemeClr val="tx2"/>
                    </a:solidFill>
                    <a:latin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'Burndown Chart01'!$B$5:$B$25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Chart01'!$E$5:$E$25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A-41C8-9E73-91720B9AE01F}"/>
            </c:ext>
          </c:extLst>
        </c:ser>
        <c:ser>
          <c:idx val="1"/>
          <c:order val="1"/>
          <c:tx>
            <c:strRef>
              <c:f>'Burndown Chart01'!$F$4</c:f>
              <c:strCache>
                <c:ptCount val="1"/>
                <c:pt idx="0">
                  <c:v>Actual</c:v>
                </c:pt>
              </c:strCache>
            </c:strRef>
          </c:tx>
          <c:spPr>
            <a:ln w="25400">
              <a:solidFill>
                <a:srgbClr val="009999"/>
              </a:solidFill>
            </a:ln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aseline="0">
                    <a:solidFill>
                      <a:srgbClr val="C00000"/>
                    </a:solidFill>
                    <a:latin typeface="Arial" panose="020B0604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'Burndown Chart01'!$B$5:$B$25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'Burndown Chart01'!$F$5:$F$25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4A-41C8-9E73-91720B9A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485919"/>
        <c:axId val="1"/>
      </c:lineChart>
      <c:catAx>
        <c:axId val="97048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9704859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956369209227778"/>
          <c:y val="3.3793272879945144E-2"/>
          <c:w val="0.82731308374325307"/>
          <c:h val="5.5070518767318014E-2"/>
        </c:manualLayout>
      </c:layout>
      <c:overlay val="0"/>
      <c:spPr>
        <a:ln>
          <a:noFill/>
        </a:ln>
      </c:spPr>
      <c:txPr>
        <a:bodyPr/>
        <a:lstStyle/>
        <a:p>
          <a:pPr>
            <a:defRPr sz="1200" baseline="0">
              <a:latin typeface="Georgia" pitchFamily="18" charset="0"/>
            </a:defRPr>
          </a:pPr>
          <a:endParaRPr lang="es-PE"/>
        </a:p>
      </c:txPr>
    </c:legend>
    <c:plotVisOnly val="1"/>
    <c:dispBlanksAs val="gap"/>
    <c:showDLblsOverMax val="0"/>
  </c:chart>
  <c:spPr>
    <a:ln>
      <a:solidFill>
        <a:srgbClr val="666666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</xdr:row>
      <xdr:rowOff>66675</xdr:rowOff>
    </xdr:from>
    <xdr:to>
      <xdr:col>28</xdr:col>
      <xdr:colOff>409575</xdr:colOff>
      <xdr:row>41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2:A27" totalsRowShown="0">
  <autoFilter ref="A22:A27" xr:uid="{00000000-0009-0000-0100-000001000000}"/>
  <tableColumns count="1">
    <tableColumn id="1" xr3:uid="{00000000-0010-0000-0000-000001000000}" name="TRABAJ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3" displayName="Tabla13" ref="A21:A26" totalsRowShown="0">
  <autoFilter ref="A21:A26" xr:uid="{00000000-0009-0000-0100-000002000000}"/>
  <tableColumns count="1">
    <tableColumn id="1" xr3:uid="{00000000-0010-0000-0100-000001000000}" name="TRABAJADORES">
      <calculatedColumnFormula>'7 SEGUIMIENTO -SPRINT BACKLOG01'!A23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B437-1058-4134-8867-890C5C2108D6}">
  <sheetPr>
    <tabColor theme="3" tint="0.79998168889431442"/>
  </sheetPr>
  <dimension ref="B2:J31"/>
  <sheetViews>
    <sheetView topLeftCell="B1" zoomScale="92" workbookViewId="0">
      <selection activeCell="C28" sqref="C28:J28"/>
    </sheetView>
  </sheetViews>
  <sheetFormatPr baseColWidth="10" defaultRowHeight="15" x14ac:dyDescent="0.25"/>
  <cols>
    <col min="2" max="2" width="30.7109375" customWidth="1"/>
  </cols>
  <sheetData>
    <row r="2" spans="2:10" ht="15.75" thickBot="1" x14ac:dyDescent="0.3"/>
    <row r="3" spans="2:10" x14ac:dyDescent="0.25">
      <c r="B3" s="75" t="s">
        <v>62</v>
      </c>
      <c r="C3" s="76" t="s">
        <v>75</v>
      </c>
      <c r="D3" s="76"/>
      <c r="E3" s="76"/>
      <c r="F3" s="76"/>
      <c r="G3" s="76"/>
      <c r="H3" s="76"/>
      <c r="I3" s="76"/>
      <c r="J3" s="77"/>
    </row>
    <row r="4" spans="2:10" x14ac:dyDescent="0.25">
      <c r="B4" s="74"/>
      <c r="C4" s="78"/>
      <c r="D4" s="78"/>
      <c r="E4" s="78"/>
      <c r="F4" s="78"/>
      <c r="G4" s="78"/>
      <c r="H4" s="78"/>
      <c r="I4" s="78"/>
      <c r="J4" s="79"/>
    </row>
    <row r="5" spans="2:10" x14ac:dyDescent="0.25">
      <c r="B5" s="74"/>
      <c r="C5" s="78"/>
      <c r="D5" s="78"/>
      <c r="E5" s="78"/>
      <c r="F5" s="78"/>
      <c r="G5" s="78"/>
      <c r="H5" s="78"/>
      <c r="I5" s="78"/>
      <c r="J5" s="79"/>
    </row>
    <row r="6" spans="2:10" x14ac:dyDescent="0.25">
      <c r="B6" s="74"/>
      <c r="C6" s="78"/>
      <c r="D6" s="78"/>
      <c r="E6" s="78"/>
      <c r="F6" s="78"/>
      <c r="G6" s="78"/>
      <c r="H6" s="78"/>
      <c r="I6" s="78"/>
      <c r="J6" s="79"/>
    </row>
    <row r="7" spans="2:10" ht="18.75" x14ac:dyDescent="0.25">
      <c r="B7" s="63" t="s">
        <v>63</v>
      </c>
      <c r="C7" s="78" t="s">
        <v>71</v>
      </c>
      <c r="D7" s="78"/>
      <c r="E7" s="78"/>
      <c r="F7" s="78"/>
      <c r="G7" s="78"/>
      <c r="H7" s="78"/>
      <c r="I7" s="78"/>
      <c r="J7" s="79"/>
    </row>
    <row r="8" spans="2:10" x14ac:dyDescent="0.25">
      <c r="B8" s="74" t="s">
        <v>64</v>
      </c>
      <c r="C8" s="78" t="s">
        <v>72</v>
      </c>
      <c r="D8" s="78"/>
      <c r="E8" s="78"/>
      <c r="F8" s="78"/>
      <c r="G8" s="78"/>
      <c r="H8" s="78"/>
      <c r="I8" s="78"/>
      <c r="J8" s="79"/>
    </row>
    <row r="9" spans="2:10" x14ac:dyDescent="0.25">
      <c r="B9" s="74"/>
      <c r="C9" s="78"/>
      <c r="D9" s="78"/>
      <c r="E9" s="78"/>
      <c r="F9" s="78"/>
      <c r="G9" s="78"/>
      <c r="H9" s="78"/>
      <c r="I9" s="78"/>
      <c r="J9" s="79"/>
    </row>
    <row r="10" spans="2:10" x14ac:dyDescent="0.25">
      <c r="B10" s="74"/>
      <c r="C10" s="78"/>
      <c r="D10" s="78"/>
      <c r="E10" s="78"/>
      <c r="F10" s="78"/>
      <c r="G10" s="78"/>
      <c r="H10" s="78"/>
      <c r="I10" s="78"/>
      <c r="J10" s="79"/>
    </row>
    <row r="11" spans="2:10" x14ac:dyDescent="0.25">
      <c r="B11" s="74"/>
      <c r="C11" s="78"/>
      <c r="D11" s="78"/>
      <c r="E11" s="78"/>
      <c r="F11" s="78"/>
      <c r="G11" s="78"/>
      <c r="H11" s="78"/>
      <c r="I11" s="78"/>
      <c r="J11" s="79"/>
    </row>
    <row r="12" spans="2:10" x14ac:dyDescent="0.25">
      <c r="B12" s="74" t="s">
        <v>65</v>
      </c>
      <c r="C12" s="78" t="s">
        <v>76</v>
      </c>
      <c r="D12" s="78"/>
      <c r="E12" s="78"/>
      <c r="F12" s="78"/>
      <c r="G12" s="78"/>
      <c r="H12" s="78"/>
      <c r="I12" s="78"/>
      <c r="J12" s="79"/>
    </row>
    <row r="13" spans="2:10" x14ac:dyDescent="0.25">
      <c r="B13" s="74"/>
      <c r="C13" s="78"/>
      <c r="D13" s="78"/>
      <c r="E13" s="78"/>
      <c r="F13" s="78"/>
      <c r="G13" s="78"/>
      <c r="H13" s="78"/>
      <c r="I13" s="78"/>
      <c r="J13" s="79"/>
    </row>
    <row r="14" spans="2:10" x14ac:dyDescent="0.25">
      <c r="B14" s="74"/>
      <c r="C14" s="78"/>
      <c r="D14" s="78"/>
      <c r="E14" s="78"/>
      <c r="F14" s="78"/>
      <c r="G14" s="78"/>
      <c r="H14" s="78"/>
      <c r="I14" s="78"/>
      <c r="J14" s="79"/>
    </row>
    <row r="15" spans="2:10" ht="30" customHeight="1" x14ac:dyDescent="0.25">
      <c r="B15" s="74"/>
      <c r="C15" s="78"/>
      <c r="D15" s="78"/>
      <c r="E15" s="78"/>
      <c r="F15" s="78"/>
      <c r="G15" s="78"/>
      <c r="H15" s="78"/>
      <c r="I15" s="78"/>
      <c r="J15" s="79"/>
    </row>
    <row r="16" spans="2:10" ht="15" customHeight="1" x14ac:dyDescent="0.25">
      <c r="B16" s="74" t="s">
        <v>66</v>
      </c>
      <c r="C16" s="67" t="s">
        <v>73</v>
      </c>
      <c r="D16" s="67"/>
      <c r="E16" s="67"/>
      <c r="F16" s="67"/>
      <c r="G16" s="67"/>
      <c r="H16" s="67"/>
      <c r="I16" s="67"/>
      <c r="J16" s="68"/>
    </row>
    <row r="17" spans="2:10" ht="15" customHeight="1" x14ac:dyDescent="0.25">
      <c r="B17" s="74"/>
      <c r="C17" s="67" t="s">
        <v>74</v>
      </c>
      <c r="D17" s="67"/>
      <c r="E17" s="67"/>
      <c r="F17" s="67"/>
      <c r="G17" s="67"/>
      <c r="H17" s="67"/>
      <c r="I17" s="67"/>
      <c r="J17" s="68"/>
    </row>
    <row r="18" spans="2:10" ht="15" customHeight="1" x14ac:dyDescent="0.25">
      <c r="B18" s="74"/>
      <c r="C18" s="67"/>
      <c r="D18" s="67"/>
      <c r="E18" s="67"/>
      <c r="F18" s="67"/>
      <c r="G18" s="67"/>
      <c r="H18" s="67"/>
      <c r="I18" s="67"/>
      <c r="J18" s="68"/>
    </row>
    <row r="19" spans="2:10" ht="15" customHeight="1" x14ac:dyDescent="0.25">
      <c r="B19" s="74"/>
      <c r="C19" s="67"/>
      <c r="D19" s="67"/>
      <c r="E19" s="67"/>
      <c r="F19" s="67"/>
      <c r="G19" s="67"/>
      <c r="H19" s="67"/>
      <c r="I19" s="67"/>
      <c r="J19" s="68"/>
    </row>
    <row r="20" spans="2:10" x14ac:dyDescent="0.25">
      <c r="B20" s="74"/>
      <c r="C20" s="80"/>
      <c r="D20" s="80"/>
      <c r="E20" s="80"/>
      <c r="F20" s="80"/>
      <c r="G20" s="80"/>
      <c r="H20" s="80"/>
      <c r="I20" s="80"/>
      <c r="J20" s="81"/>
    </row>
    <row r="21" spans="2:10" ht="15" customHeight="1" x14ac:dyDescent="0.25">
      <c r="B21" s="71" t="s">
        <v>67</v>
      </c>
      <c r="C21" s="67" t="s">
        <v>77</v>
      </c>
      <c r="D21" s="67"/>
      <c r="E21" s="67"/>
      <c r="F21" s="67"/>
      <c r="G21" s="67"/>
      <c r="H21" s="67"/>
      <c r="I21" s="67"/>
      <c r="J21" s="68"/>
    </row>
    <row r="22" spans="2:10" ht="15" customHeight="1" x14ac:dyDescent="0.25">
      <c r="B22" s="72"/>
      <c r="C22" s="67" t="s">
        <v>78</v>
      </c>
      <c r="D22" s="67"/>
      <c r="E22" s="67"/>
      <c r="F22" s="67"/>
      <c r="G22" s="67"/>
      <c r="H22" s="67"/>
      <c r="I22" s="67"/>
      <c r="J22" s="68"/>
    </row>
    <row r="23" spans="2:10" ht="15" customHeight="1" x14ac:dyDescent="0.25">
      <c r="B23" s="72"/>
      <c r="C23" s="67" t="s">
        <v>79</v>
      </c>
      <c r="D23" s="67"/>
      <c r="E23" s="67"/>
      <c r="F23" s="67"/>
      <c r="G23" s="67"/>
      <c r="H23" s="67"/>
      <c r="I23" s="67"/>
      <c r="J23" s="68"/>
    </row>
    <row r="24" spans="2:10" ht="15" customHeight="1" x14ac:dyDescent="0.25">
      <c r="B24" s="72"/>
      <c r="C24" s="67" t="s">
        <v>80</v>
      </c>
      <c r="D24" s="67"/>
      <c r="E24" s="67"/>
      <c r="F24" s="67"/>
      <c r="G24" s="67"/>
      <c r="H24" s="67"/>
      <c r="I24" s="67"/>
      <c r="J24" s="68"/>
    </row>
    <row r="25" spans="2:10" ht="15" customHeight="1" x14ac:dyDescent="0.25">
      <c r="B25" s="72"/>
      <c r="C25" s="67" t="s">
        <v>81</v>
      </c>
      <c r="D25" s="67"/>
      <c r="E25" s="67"/>
      <c r="F25" s="67"/>
      <c r="G25" s="67"/>
      <c r="H25" s="67"/>
      <c r="I25" s="67"/>
      <c r="J25" s="68"/>
    </row>
    <row r="26" spans="2:10" ht="15" customHeight="1" x14ac:dyDescent="0.25">
      <c r="B26" s="72"/>
      <c r="C26" s="67"/>
      <c r="D26" s="67"/>
      <c r="E26" s="67"/>
      <c r="F26" s="67"/>
      <c r="G26" s="67"/>
      <c r="H26" s="67"/>
      <c r="I26" s="67"/>
      <c r="J26" s="68"/>
    </row>
    <row r="27" spans="2:10" ht="15" customHeight="1" x14ac:dyDescent="0.25">
      <c r="B27" s="72"/>
      <c r="C27" s="67"/>
      <c r="D27" s="67"/>
      <c r="E27" s="67"/>
      <c r="F27" s="67"/>
      <c r="G27" s="67"/>
      <c r="H27" s="67"/>
      <c r="I27" s="67"/>
      <c r="J27" s="68"/>
    </row>
    <row r="28" spans="2:10" ht="15" customHeight="1" x14ac:dyDescent="0.25">
      <c r="B28" s="72"/>
      <c r="C28" s="67"/>
      <c r="D28" s="67"/>
      <c r="E28" s="67"/>
      <c r="F28" s="67"/>
      <c r="G28" s="67"/>
      <c r="H28" s="67"/>
      <c r="I28" s="67"/>
      <c r="J28" s="68"/>
    </row>
    <row r="29" spans="2:10" ht="15" customHeight="1" x14ac:dyDescent="0.25">
      <c r="B29" s="72"/>
      <c r="C29" s="67"/>
      <c r="D29" s="67"/>
      <c r="E29" s="67"/>
      <c r="F29" s="67"/>
      <c r="G29" s="67"/>
      <c r="H29" s="67"/>
      <c r="I29" s="67"/>
      <c r="J29" s="68"/>
    </row>
    <row r="30" spans="2:10" ht="15" customHeight="1" x14ac:dyDescent="0.25">
      <c r="B30" s="72"/>
      <c r="C30" s="67"/>
      <c r="D30" s="67"/>
      <c r="E30" s="67"/>
      <c r="F30" s="67"/>
      <c r="G30" s="67"/>
      <c r="H30" s="67"/>
      <c r="I30" s="67"/>
      <c r="J30" s="68"/>
    </row>
    <row r="31" spans="2:10" ht="18.75" customHeight="1" thickBot="1" x14ac:dyDescent="0.3">
      <c r="B31" s="73"/>
      <c r="C31" s="69"/>
      <c r="D31" s="69"/>
      <c r="E31" s="69"/>
      <c r="F31" s="69"/>
      <c r="G31" s="69"/>
      <c r="H31" s="69"/>
      <c r="I31" s="69"/>
      <c r="J31" s="70"/>
    </row>
  </sheetData>
  <mergeCells count="25">
    <mergeCell ref="B16:B20"/>
    <mergeCell ref="B3:B6"/>
    <mergeCell ref="B8:B11"/>
    <mergeCell ref="B12:B15"/>
    <mergeCell ref="C3:J6"/>
    <mergeCell ref="C7:J7"/>
    <mergeCell ref="C8:J11"/>
    <mergeCell ref="C12:J15"/>
    <mergeCell ref="C16:J16"/>
    <mergeCell ref="C17:J17"/>
    <mergeCell ref="C18:J18"/>
    <mergeCell ref="C19:J19"/>
    <mergeCell ref="C20:J20"/>
    <mergeCell ref="C28:J28"/>
    <mergeCell ref="C29:J29"/>
    <mergeCell ref="C30:J30"/>
    <mergeCell ref="C31:J31"/>
    <mergeCell ref="B21:B31"/>
    <mergeCell ref="C21:J21"/>
    <mergeCell ref="C22:J22"/>
    <mergeCell ref="C23:J23"/>
    <mergeCell ref="C24:J24"/>
    <mergeCell ref="C25:J25"/>
    <mergeCell ref="C26:J26"/>
    <mergeCell ref="C27:J2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A47C-7D1D-44A3-AFC3-5358F49F0732}">
  <sheetPr>
    <tabColor theme="3" tint="0.59999389629810485"/>
    <pageSetUpPr fitToPage="1"/>
  </sheetPr>
  <dimension ref="A1:D9"/>
  <sheetViews>
    <sheetView topLeftCell="B4" workbookViewId="0">
      <selection activeCell="C12" sqref="C12"/>
    </sheetView>
  </sheetViews>
  <sheetFormatPr baseColWidth="10" defaultRowHeight="15" x14ac:dyDescent="0.25"/>
  <cols>
    <col min="1" max="1" width="11.42578125" hidden="1" customWidth="1"/>
    <col min="2" max="2" width="20" customWidth="1"/>
    <col min="3" max="3" width="32.140625" customWidth="1"/>
    <col min="4" max="4" width="42.140625" customWidth="1"/>
  </cols>
  <sheetData>
    <row r="1" spans="2:4" ht="26.25" x14ac:dyDescent="0.4">
      <c r="B1" s="82" t="s">
        <v>52</v>
      </c>
      <c r="C1" s="82"/>
      <c r="D1" s="82"/>
    </row>
    <row r="3" spans="2:4" x14ac:dyDescent="0.25">
      <c r="B3" s="52" t="s">
        <v>53</v>
      </c>
      <c r="C3" s="52" t="s">
        <v>54</v>
      </c>
      <c r="D3" s="52" t="s">
        <v>55</v>
      </c>
    </row>
    <row r="4" spans="2:4" ht="90" x14ac:dyDescent="0.25">
      <c r="B4" s="53" t="s">
        <v>56</v>
      </c>
      <c r="C4" s="59" t="s">
        <v>82</v>
      </c>
      <c r="D4" s="59" t="s">
        <v>85</v>
      </c>
    </row>
    <row r="5" spans="2:4" ht="75" x14ac:dyDescent="0.25">
      <c r="B5" s="53" t="s">
        <v>57</v>
      </c>
      <c r="C5" s="59" t="s">
        <v>83</v>
      </c>
      <c r="D5" s="59" t="s">
        <v>86</v>
      </c>
    </row>
    <row r="6" spans="2:4" ht="70.150000000000006" customHeight="1" x14ac:dyDescent="0.25">
      <c r="B6" s="53" t="s">
        <v>58</v>
      </c>
      <c r="C6" s="59" t="s">
        <v>84</v>
      </c>
      <c r="D6" s="59" t="s">
        <v>87</v>
      </c>
    </row>
    <row r="7" spans="2:4" ht="70.150000000000006" customHeight="1" x14ac:dyDescent="0.25">
      <c r="B7" s="53" t="s">
        <v>59</v>
      </c>
      <c r="C7" s="59" t="s">
        <v>89</v>
      </c>
      <c r="D7" s="59" t="s">
        <v>88</v>
      </c>
    </row>
    <row r="8" spans="2:4" ht="70.150000000000006" customHeight="1" x14ac:dyDescent="0.25">
      <c r="B8" s="53" t="s">
        <v>60</v>
      </c>
      <c r="C8" s="59" t="s">
        <v>90</v>
      </c>
      <c r="D8" s="59" t="s">
        <v>91</v>
      </c>
    </row>
    <row r="9" spans="2:4" ht="70.150000000000006" customHeight="1" x14ac:dyDescent="0.25">
      <c r="B9" s="53" t="s">
        <v>61</v>
      </c>
      <c r="C9" s="59" t="s">
        <v>92</v>
      </c>
      <c r="D9" s="59" t="s">
        <v>93</v>
      </c>
    </row>
  </sheetData>
  <mergeCells count="1">
    <mergeCell ref="B1:D1"/>
  </mergeCells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1:Q18"/>
  <sheetViews>
    <sheetView topLeftCell="A3" zoomScale="85" zoomScaleNormal="85" zoomScaleSheetLayoutView="100" workbookViewId="0">
      <selection activeCell="K10" sqref="K10"/>
    </sheetView>
  </sheetViews>
  <sheetFormatPr baseColWidth="10" defaultColWidth="11.42578125" defaultRowHeight="15" x14ac:dyDescent="0.25"/>
  <cols>
    <col min="1" max="1" width="1.42578125" style="15" customWidth="1"/>
    <col min="2" max="2" width="16.42578125" style="15" customWidth="1"/>
    <col min="3" max="3" width="82.5703125" style="15" customWidth="1"/>
    <col min="4" max="4" width="27.5703125" style="15" customWidth="1"/>
    <col min="5" max="5" width="15" style="15" customWidth="1"/>
    <col min="6" max="6" width="11.85546875" style="16" bestFit="1" customWidth="1"/>
    <col min="7" max="7" width="16.140625" style="15" bestFit="1" customWidth="1"/>
    <col min="8" max="8" width="17.85546875" style="15" customWidth="1"/>
    <col min="9" max="9" width="22.85546875" style="15" customWidth="1"/>
    <col min="10" max="10" width="2.140625" style="15" customWidth="1"/>
    <col min="11" max="16384" width="11.42578125" style="15"/>
  </cols>
  <sheetData>
    <row r="1" spans="2:17" ht="28.5" x14ac:dyDescent="0.45">
      <c r="B1" s="13" t="s">
        <v>27</v>
      </c>
      <c r="C1" s="14"/>
      <c r="D1" s="14"/>
    </row>
    <row r="2" spans="2:17" ht="4.5" customHeight="1" x14ac:dyDescent="0.25"/>
    <row r="3" spans="2:17" ht="30" x14ac:dyDescent="0.25"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35</v>
      </c>
      <c r="L3" s="83"/>
      <c r="M3" s="83"/>
      <c r="N3" s="83"/>
      <c r="O3" s="83"/>
      <c r="P3" s="83"/>
      <c r="Q3" s="83"/>
    </row>
    <row r="4" spans="2:17" ht="45" customHeight="1" x14ac:dyDescent="0.25">
      <c r="B4" s="12" t="s">
        <v>94</v>
      </c>
      <c r="C4" s="65" t="s">
        <v>95</v>
      </c>
      <c r="D4" s="12" t="s">
        <v>107</v>
      </c>
      <c r="E4" s="12" t="s">
        <v>120</v>
      </c>
      <c r="F4" s="11" t="s">
        <v>108</v>
      </c>
      <c r="G4" s="51" t="s">
        <v>109</v>
      </c>
      <c r="H4" s="12" t="s">
        <v>110</v>
      </c>
      <c r="I4" s="12" t="s">
        <v>111</v>
      </c>
      <c r="L4" s="83"/>
      <c r="M4" s="83"/>
      <c r="N4" s="83"/>
      <c r="O4" s="83"/>
      <c r="P4" s="83"/>
      <c r="Q4" s="83"/>
    </row>
    <row r="5" spans="2:17" ht="45" customHeight="1" x14ac:dyDescent="0.25">
      <c r="B5" s="12" t="s">
        <v>96</v>
      </c>
      <c r="C5" s="8" t="s">
        <v>112</v>
      </c>
      <c r="D5" s="12" t="s">
        <v>107</v>
      </c>
      <c r="E5" s="12" t="s">
        <v>113</v>
      </c>
      <c r="F5" s="12" t="s">
        <v>114</v>
      </c>
      <c r="G5" s="51" t="s">
        <v>115</v>
      </c>
      <c r="H5" s="12" t="s">
        <v>116</v>
      </c>
      <c r="I5" s="12" t="s">
        <v>117</v>
      </c>
      <c r="L5" s="83"/>
      <c r="M5" s="83"/>
      <c r="N5" s="83"/>
      <c r="O5" s="83"/>
      <c r="P5" s="83"/>
      <c r="Q5" s="83"/>
    </row>
    <row r="6" spans="2:17" ht="45" customHeight="1" x14ac:dyDescent="0.25">
      <c r="B6" s="12" t="s">
        <v>97</v>
      </c>
      <c r="C6" s="8" t="s">
        <v>118</v>
      </c>
      <c r="D6" s="12" t="s">
        <v>123</v>
      </c>
      <c r="E6" s="12" t="s">
        <v>113</v>
      </c>
      <c r="F6" s="12" t="s">
        <v>121</v>
      </c>
      <c r="G6" s="51" t="s">
        <v>109</v>
      </c>
      <c r="H6" s="12" t="s">
        <v>110</v>
      </c>
      <c r="I6" s="12" t="s">
        <v>122</v>
      </c>
      <c r="L6" s="83"/>
      <c r="M6" s="83"/>
      <c r="N6" s="83"/>
      <c r="O6" s="83"/>
      <c r="P6" s="83"/>
      <c r="Q6" s="83"/>
    </row>
    <row r="7" spans="2:17" ht="45" customHeight="1" x14ac:dyDescent="0.25">
      <c r="B7" s="12" t="s">
        <v>98</v>
      </c>
      <c r="C7" s="8" t="s">
        <v>124</v>
      </c>
      <c r="D7" s="12" t="s">
        <v>119</v>
      </c>
      <c r="E7" s="12" t="s">
        <v>113</v>
      </c>
      <c r="F7" s="12" t="s">
        <v>125</v>
      </c>
      <c r="G7" s="51" t="s">
        <v>126</v>
      </c>
      <c r="H7" s="12" t="s">
        <v>110</v>
      </c>
      <c r="I7" s="12" t="s">
        <v>127</v>
      </c>
      <c r="L7" s="83"/>
      <c r="M7" s="83"/>
      <c r="N7" s="83"/>
      <c r="O7" s="83"/>
      <c r="P7" s="83"/>
      <c r="Q7" s="83"/>
    </row>
    <row r="8" spans="2:17" ht="45" customHeight="1" x14ac:dyDescent="0.25">
      <c r="B8" s="12" t="s">
        <v>99</v>
      </c>
      <c r="C8" s="8" t="s">
        <v>128</v>
      </c>
      <c r="D8" s="12" t="s">
        <v>129</v>
      </c>
      <c r="E8" s="12" t="s">
        <v>113</v>
      </c>
      <c r="F8" s="12" t="s">
        <v>130</v>
      </c>
      <c r="G8" s="51" t="s">
        <v>131</v>
      </c>
      <c r="H8" s="12" t="s">
        <v>110</v>
      </c>
      <c r="I8" s="12" t="s">
        <v>132</v>
      </c>
      <c r="L8" s="83"/>
      <c r="M8" s="83"/>
      <c r="N8" s="83"/>
      <c r="O8" s="83"/>
      <c r="P8" s="83"/>
      <c r="Q8" s="83"/>
    </row>
    <row r="9" spans="2:17" ht="45" customHeight="1" x14ac:dyDescent="0.25">
      <c r="B9" s="12" t="s">
        <v>100</v>
      </c>
      <c r="C9" s="66" t="s">
        <v>133</v>
      </c>
      <c r="D9" s="12" t="s">
        <v>129</v>
      </c>
      <c r="E9" s="12" t="s">
        <v>134</v>
      </c>
      <c r="F9" s="12" t="s">
        <v>114</v>
      </c>
      <c r="G9" s="51" t="s">
        <v>131</v>
      </c>
      <c r="H9" s="12" t="s">
        <v>110</v>
      </c>
      <c r="I9" s="12" t="s">
        <v>137</v>
      </c>
      <c r="L9" s="83"/>
      <c r="M9" s="83"/>
      <c r="N9" s="83"/>
      <c r="O9" s="83"/>
      <c r="P9" s="83"/>
      <c r="Q9" s="83"/>
    </row>
    <row r="10" spans="2:17" ht="45" customHeight="1" x14ac:dyDescent="0.25">
      <c r="B10" s="12" t="s">
        <v>101</v>
      </c>
      <c r="C10" s="8" t="s">
        <v>135</v>
      </c>
      <c r="D10" s="12" t="s">
        <v>129</v>
      </c>
      <c r="E10" s="12" t="s">
        <v>134</v>
      </c>
      <c r="F10" s="12" t="s">
        <v>121</v>
      </c>
      <c r="G10" s="51" t="s">
        <v>136</v>
      </c>
      <c r="H10" s="12" t="s">
        <v>116</v>
      </c>
      <c r="I10" s="12" t="s">
        <v>138</v>
      </c>
      <c r="L10" s="83"/>
      <c r="M10" s="83"/>
      <c r="N10" s="83"/>
      <c r="O10" s="83"/>
      <c r="P10" s="83"/>
      <c r="Q10" s="83"/>
    </row>
    <row r="11" spans="2:17" ht="45" customHeight="1" x14ac:dyDescent="0.25">
      <c r="B11" s="12" t="s">
        <v>102</v>
      </c>
      <c r="C11" s="8" t="s">
        <v>139</v>
      </c>
      <c r="D11" s="12" t="s">
        <v>140</v>
      </c>
      <c r="E11" s="12" t="s">
        <v>134</v>
      </c>
      <c r="F11" s="12" t="s">
        <v>108</v>
      </c>
      <c r="G11" s="51" t="s">
        <v>136</v>
      </c>
      <c r="H11" s="12" t="s">
        <v>110</v>
      </c>
      <c r="I11" s="12" t="s">
        <v>141</v>
      </c>
      <c r="L11" s="83"/>
      <c r="M11" s="83"/>
      <c r="N11" s="83"/>
      <c r="O11" s="83"/>
      <c r="P11" s="83"/>
      <c r="Q11" s="83"/>
    </row>
    <row r="12" spans="2:17" ht="45" customHeight="1" x14ac:dyDescent="0.25">
      <c r="B12" s="12" t="s">
        <v>103</v>
      </c>
      <c r="C12" s="8" t="s">
        <v>142</v>
      </c>
      <c r="D12" s="12" t="s">
        <v>140</v>
      </c>
      <c r="E12" s="12" t="s">
        <v>134</v>
      </c>
      <c r="F12" s="12" t="s">
        <v>121</v>
      </c>
      <c r="G12" s="51" t="s">
        <v>136</v>
      </c>
      <c r="H12" s="12" t="s">
        <v>110</v>
      </c>
      <c r="I12" s="12" t="s">
        <v>143</v>
      </c>
      <c r="L12" s="83"/>
      <c r="M12" s="83"/>
      <c r="N12" s="83"/>
      <c r="O12" s="83"/>
      <c r="P12" s="83"/>
      <c r="Q12" s="83"/>
    </row>
    <row r="13" spans="2:17" ht="45" customHeight="1" x14ac:dyDescent="0.25">
      <c r="B13" s="12" t="s">
        <v>104</v>
      </c>
      <c r="C13" s="66" t="s">
        <v>144</v>
      </c>
      <c r="D13" s="12" t="s">
        <v>153</v>
      </c>
      <c r="E13" s="12" t="s">
        <v>134</v>
      </c>
      <c r="F13" s="12" t="s">
        <v>145</v>
      </c>
      <c r="G13" s="51" t="s">
        <v>146</v>
      </c>
      <c r="H13" s="12" t="s">
        <v>110</v>
      </c>
      <c r="I13" s="12" t="s">
        <v>147</v>
      </c>
      <c r="L13" s="83"/>
      <c r="M13" s="83"/>
      <c r="N13" s="83"/>
      <c r="O13" s="83"/>
      <c r="P13" s="83"/>
      <c r="Q13" s="83"/>
    </row>
    <row r="14" spans="2:17" ht="45" customHeight="1" x14ac:dyDescent="0.25">
      <c r="B14" s="12" t="s">
        <v>105</v>
      </c>
      <c r="C14" s="8" t="s">
        <v>148</v>
      </c>
      <c r="D14" s="12" t="s">
        <v>154</v>
      </c>
      <c r="E14" s="12" t="s">
        <v>134</v>
      </c>
      <c r="F14" s="12" t="s">
        <v>149</v>
      </c>
      <c r="G14" s="51" t="s">
        <v>150</v>
      </c>
      <c r="H14" s="12" t="s">
        <v>116</v>
      </c>
      <c r="I14" s="12" t="s">
        <v>151</v>
      </c>
      <c r="L14" s="83"/>
      <c r="M14" s="83"/>
      <c r="N14" s="83"/>
      <c r="O14" s="83"/>
      <c r="P14" s="83"/>
      <c r="Q14" s="83"/>
    </row>
    <row r="15" spans="2:17" ht="45" customHeight="1" x14ac:dyDescent="0.25">
      <c r="B15" s="12" t="s">
        <v>106</v>
      </c>
      <c r="C15" s="8" t="s">
        <v>152</v>
      </c>
      <c r="D15" s="12" t="s">
        <v>155</v>
      </c>
      <c r="E15" s="12" t="s">
        <v>134</v>
      </c>
      <c r="F15" s="12" t="s">
        <v>125</v>
      </c>
      <c r="G15" s="12" t="s">
        <v>150</v>
      </c>
      <c r="H15" s="12" t="s">
        <v>110</v>
      </c>
      <c r="I15" s="12" t="s">
        <v>156</v>
      </c>
      <c r="L15" s="83"/>
      <c r="M15" s="83"/>
      <c r="N15" s="83"/>
      <c r="O15" s="83"/>
      <c r="P15" s="83"/>
      <c r="Q15" s="83"/>
    </row>
    <row r="16" spans="2:17" ht="45" customHeight="1" x14ac:dyDescent="0.25">
      <c r="B16" s="18"/>
      <c r="C16" s="8"/>
      <c r="D16" s="18"/>
      <c r="E16" s="18"/>
      <c r="F16" s="12"/>
      <c r="G16" s="18"/>
      <c r="H16" s="18"/>
      <c r="I16" s="18"/>
    </row>
    <row r="17" spans="2:9" ht="45" customHeight="1" x14ac:dyDescent="0.25">
      <c r="B17" s="18"/>
      <c r="C17" s="8"/>
      <c r="D17" s="18"/>
      <c r="E17" s="18"/>
      <c r="F17" s="12"/>
      <c r="G17" s="18"/>
      <c r="H17" s="18"/>
      <c r="I17" s="18"/>
    </row>
    <row r="18" spans="2:9" x14ac:dyDescent="0.25">
      <c r="C18" s="64"/>
    </row>
  </sheetData>
  <mergeCells count="1">
    <mergeCell ref="L3:Q15"/>
  </mergeCells>
  <phoneticPr fontId="26" type="noConversion"/>
  <pageMargins left="0.23622047244094491" right="0.23622047244094491" top="0.74803149606299213" bottom="0.61" header="0.31496062992125984" footer="0.31496062992125984"/>
  <pageSetup paperSize="9" scale="7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B1:D45"/>
  <sheetViews>
    <sheetView tabSelected="1" zoomScale="130" zoomScaleNormal="130" workbookViewId="0">
      <selection activeCell="C3" sqref="C3"/>
    </sheetView>
  </sheetViews>
  <sheetFormatPr baseColWidth="10" defaultRowHeight="15" x14ac:dyDescent="0.25"/>
  <cols>
    <col min="2" max="2" width="15.7109375" customWidth="1"/>
    <col min="3" max="3" width="94.85546875" customWidth="1"/>
    <col min="4" max="4" width="33.85546875" customWidth="1"/>
  </cols>
  <sheetData>
    <row r="1" spans="2:4" ht="28.5" x14ac:dyDescent="0.45">
      <c r="B1" s="84" t="s">
        <v>36</v>
      </c>
      <c r="C1" s="84"/>
      <c r="D1" s="84"/>
    </row>
    <row r="2" spans="2:4" ht="45" x14ac:dyDescent="0.25">
      <c r="B2" s="17" t="s">
        <v>28</v>
      </c>
      <c r="C2" s="17" t="s">
        <v>37</v>
      </c>
      <c r="D2" s="17" t="s">
        <v>38</v>
      </c>
    </row>
    <row r="3" spans="2:4" x14ac:dyDescent="0.25">
      <c r="B3" s="7" t="s">
        <v>94</v>
      </c>
      <c r="C3" s="1"/>
      <c r="D3" s="1"/>
    </row>
    <row r="4" spans="2:4" x14ac:dyDescent="0.25">
      <c r="B4" s="7" t="s">
        <v>96</v>
      </c>
      <c r="C4" s="1"/>
      <c r="D4" s="1"/>
    </row>
    <row r="5" spans="2:4" x14ac:dyDescent="0.25">
      <c r="B5" s="7" t="s">
        <v>97</v>
      </c>
      <c r="C5" s="1"/>
      <c r="D5" s="1"/>
    </row>
    <row r="6" spans="2:4" x14ac:dyDescent="0.25">
      <c r="B6" s="7" t="s">
        <v>98</v>
      </c>
      <c r="C6" s="1"/>
      <c r="D6" s="1"/>
    </row>
    <row r="7" spans="2:4" x14ac:dyDescent="0.25">
      <c r="B7" s="7" t="s">
        <v>99</v>
      </c>
      <c r="C7" s="1"/>
      <c r="D7" s="1"/>
    </row>
    <row r="8" spans="2:4" x14ac:dyDescent="0.25">
      <c r="B8" s="7" t="s">
        <v>100</v>
      </c>
      <c r="C8" s="1"/>
      <c r="D8" s="1"/>
    </row>
    <row r="9" spans="2:4" ht="27" customHeight="1" x14ac:dyDescent="0.25">
      <c r="B9" s="7" t="s">
        <v>101</v>
      </c>
      <c r="C9" s="19"/>
      <c r="D9" s="1"/>
    </row>
    <row r="10" spans="2:4" x14ac:dyDescent="0.25">
      <c r="B10" s="7" t="s">
        <v>102</v>
      </c>
      <c r="C10" s="1"/>
      <c r="D10" s="1"/>
    </row>
    <row r="11" spans="2:4" x14ac:dyDescent="0.25">
      <c r="B11" s="7" t="s">
        <v>103</v>
      </c>
      <c r="C11" s="1"/>
      <c r="D11" s="1"/>
    </row>
    <row r="12" spans="2:4" x14ac:dyDescent="0.25">
      <c r="B12" s="7" t="s">
        <v>104</v>
      </c>
      <c r="C12" s="1"/>
      <c r="D12" s="1"/>
    </row>
    <row r="13" spans="2:4" x14ac:dyDescent="0.25">
      <c r="B13" s="7" t="s">
        <v>105</v>
      </c>
      <c r="C13" s="19"/>
      <c r="D13" s="1"/>
    </row>
    <row r="14" spans="2:4" x14ac:dyDescent="0.25">
      <c r="B14" s="7" t="s">
        <v>106</v>
      </c>
      <c r="C14" s="1"/>
      <c r="D14" s="1"/>
    </row>
    <row r="15" spans="2:4" x14ac:dyDescent="0.25">
      <c r="B15" s="7"/>
      <c r="C15" s="1"/>
      <c r="D15" s="1"/>
    </row>
    <row r="16" spans="2:4" x14ac:dyDescent="0.25">
      <c r="B16" s="7"/>
      <c r="C16" s="19"/>
      <c r="D16" s="1"/>
    </row>
    <row r="17" spans="2:4" x14ac:dyDescent="0.25">
      <c r="B17" s="7"/>
      <c r="C17" s="1"/>
      <c r="D17" s="1"/>
    </row>
    <row r="18" spans="2:4" x14ac:dyDescent="0.25">
      <c r="B18" s="7"/>
      <c r="C18" s="1"/>
      <c r="D18" s="1"/>
    </row>
    <row r="19" spans="2:4" x14ac:dyDescent="0.25">
      <c r="B19" s="7"/>
      <c r="C19" s="1"/>
      <c r="D19" s="1"/>
    </row>
    <row r="20" spans="2:4" x14ac:dyDescent="0.25">
      <c r="B20" s="7"/>
      <c r="C20" s="19"/>
      <c r="D20" s="1"/>
    </row>
    <row r="21" spans="2:4" x14ac:dyDescent="0.25">
      <c r="B21" s="7"/>
      <c r="C21" s="19"/>
      <c r="D21" s="1"/>
    </row>
    <row r="22" spans="2:4" x14ac:dyDescent="0.25">
      <c r="B22" s="7"/>
      <c r="C22" s="1"/>
      <c r="D22" s="1"/>
    </row>
    <row r="23" spans="2:4" x14ac:dyDescent="0.25">
      <c r="B23" s="7"/>
      <c r="C23" s="19"/>
      <c r="D23" s="1"/>
    </row>
    <row r="24" spans="2:4" ht="15.75" customHeight="1" x14ac:dyDescent="0.25">
      <c r="B24" s="7"/>
      <c r="C24" s="19"/>
      <c r="D24" s="1"/>
    </row>
    <row r="25" spans="2:4" x14ac:dyDescent="0.25">
      <c r="B25" s="7"/>
      <c r="C25" s="19"/>
      <c r="D25" s="1"/>
    </row>
    <row r="26" spans="2:4" x14ac:dyDescent="0.25">
      <c r="B26" s="7"/>
      <c r="C26" s="1"/>
      <c r="D26" s="1"/>
    </row>
    <row r="27" spans="2:4" x14ac:dyDescent="0.25">
      <c r="B27" s="7"/>
      <c r="C27" s="1"/>
      <c r="D27" s="1"/>
    </row>
    <row r="28" spans="2:4" x14ac:dyDescent="0.25">
      <c r="B28" s="7"/>
      <c r="C28" s="1"/>
      <c r="D28" s="1"/>
    </row>
    <row r="29" spans="2:4" x14ac:dyDescent="0.25">
      <c r="B29" s="7"/>
      <c r="C29" s="1"/>
      <c r="D29" s="1"/>
    </row>
    <row r="30" spans="2:4" x14ac:dyDescent="0.25">
      <c r="B30" s="7"/>
      <c r="C30" s="1"/>
      <c r="D30" s="1"/>
    </row>
    <row r="31" spans="2:4" x14ac:dyDescent="0.25">
      <c r="B31" s="7"/>
      <c r="C31" s="1"/>
      <c r="D31" s="1"/>
    </row>
    <row r="32" spans="2:4" x14ac:dyDescent="0.25">
      <c r="B32" s="7"/>
      <c r="C32" s="1"/>
      <c r="D32" s="1"/>
    </row>
    <row r="33" spans="2:4" x14ac:dyDescent="0.25">
      <c r="B33" s="7"/>
      <c r="C33" s="1"/>
      <c r="D33" s="1"/>
    </row>
    <row r="34" spans="2:4" x14ac:dyDescent="0.25">
      <c r="B34" s="7"/>
      <c r="C34" s="1"/>
      <c r="D34" s="1"/>
    </row>
    <row r="35" spans="2:4" x14ac:dyDescent="0.25">
      <c r="B35" s="7"/>
      <c r="C35" s="1"/>
      <c r="D35" s="1"/>
    </row>
    <row r="36" spans="2:4" x14ac:dyDescent="0.25">
      <c r="B36" s="7"/>
      <c r="C36" s="1"/>
      <c r="D36" s="1"/>
    </row>
    <row r="37" spans="2:4" x14ac:dyDescent="0.25">
      <c r="B37" s="7"/>
      <c r="C37" s="1"/>
      <c r="D37" s="1"/>
    </row>
    <row r="38" spans="2:4" x14ac:dyDescent="0.25">
      <c r="B38" s="7"/>
      <c r="C38" s="1"/>
      <c r="D38" s="1"/>
    </row>
    <row r="39" spans="2:4" x14ac:dyDescent="0.25">
      <c r="B39" s="7"/>
      <c r="C39" s="1"/>
      <c r="D39" s="1"/>
    </row>
    <row r="40" spans="2:4" x14ac:dyDescent="0.25">
      <c r="B40" s="7"/>
      <c r="C40" s="1"/>
      <c r="D40" s="1"/>
    </row>
    <row r="41" spans="2:4" x14ac:dyDescent="0.25">
      <c r="B41" s="7"/>
      <c r="C41" s="1"/>
      <c r="D41" s="1"/>
    </row>
    <row r="42" spans="2:4" x14ac:dyDescent="0.25">
      <c r="B42" s="7"/>
      <c r="C42" s="1"/>
      <c r="D42" s="1"/>
    </row>
    <row r="43" spans="2:4" x14ac:dyDescent="0.25">
      <c r="B43" s="7"/>
      <c r="C43" s="1"/>
      <c r="D43" s="1"/>
    </row>
    <row r="44" spans="2:4" x14ac:dyDescent="0.25">
      <c r="B44" s="7"/>
      <c r="C44" s="1"/>
      <c r="D44" s="1"/>
    </row>
    <row r="45" spans="2:4" x14ac:dyDescent="0.25">
      <c r="B45" s="7"/>
      <c r="C45" s="1"/>
      <c r="D45" s="1"/>
    </row>
  </sheetData>
  <mergeCells count="1">
    <mergeCell ref="B1:D1"/>
  </mergeCells>
  <phoneticPr fontId="26" type="noConversion"/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D59"/>
  <sheetViews>
    <sheetView workbookViewId="0">
      <selection activeCell="A43" sqref="A43"/>
    </sheetView>
  </sheetViews>
  <sheetFormatPr baseColWidth="10" defaultRowHeight="15" x14ac:dyDescent="0.25"/>
  <cols>
    <col min="1" max="1" width="23" style="26" customWidth="1"/>
    <col min="2" max="2" width="62.42578125" customWidth="1"/>
    <col min="3" max="3" width="23.7109375" customWidth="1"/>
    <col min="4" max="4" width="23" style="26" customWidth="1"/>
  </cols>
  <sheetData>
    <row r="1" spans="1:4" ht="18" x14ac:dyDescent="0.25">
      <c r="A1" s="85" t="s">
        <v>39</v>
      </c>
      <c r="B1" s="85"/>
      <c r="C1" s="85"/>
      <c r="D1" s="85"/>
    </row>
    <row r="2" spans="1:4" s="10" customFormat="1" ht="25.5" x14ac:dyDescent="0.25">
      <c r="A2" s="58" t="s">
        <v>40</v>
      </c>
      <c r="B2" s="58" t="s">
        <v>41</v>
      </c>
      <c r="C2" s="58" t="s">
        <v>68</v>
      </c>
      <c r="D2" s="58" t="s">
        <v>42</v>
      </c>
    </row>
    <row r="3" spans="1:4" ht="15" customHeight="1" x14ac:dyDescent="0.25">
      <c r="A3" s="20"/>
      <c r="B3" s="21"/>
      <c r="C3" s="21"/>
      <c r="D3" s="20"/>
    </row>
    <row r="4" spans="1:4" ht="15" customHeight="1" x14ac:dyDescent="0.25">
      <c r="A4" s="23"/>
      <c r="B4" s="21"/>
      <c r="C4" s="21"/>
      <c r="D4" s="20"/>
    </row>
    <row r="5" spans="1:4" ht="15" customHeight="1" x14ac:dyDescent="0.25">
      <c r="A5" s="23"/>
      <c r="B5" s="21"/>
      <c r="C5" s="21"/>
      <c r="D5" s="20"/>
    </row>
    <row r="6" spans="1:4" ht="15" customHeight="1" x14ac:dyDescent="0.25">
      <c r="A6" s="23"/>
      <c r="B6" s="21"/>
      <c r="C6" s="21"/>
      <c r="D6" s="20"/>
    </row>
    <row r="7" spans="1:4" ht="15" customHeight="1" x14ac:dyDescent="0.25">
      <c r="A7" s="23"/>
      <c r="B7" s="21"/>
      <c r="C7" s="21"/>
      <c r="D7" s="20"/>
    </row>
    <row r="8" spans="1:4" ht="15" customHeight="1" x14ac:dyDescent="0.25">
      <c r="A8" s="23"/>
      <c r="B8" s="21"/>
      <c r="C8" s="21"/>
      <c r="D8" s="20"/>
    </row>
    <row r="9" spans="1:4" ht="15" customHeight="1" x14ac:dyDescent="0.25">
      <c r="A9" s="23"/>
      <c r="B9" s="22"/>
      <c r="C9" s="22"/>
      <c r="D9" s="20"/>
    </row>
    <row r="10" spans="1:4" ht="15" customHeight="1" x14ac:dyDescent="0.25">
      <c r="A10" s="23"/>
      <c r="B10" s="21"/>
      <c r="C10" s="21"/>
      <c r="D10" s="20"/>
    </row>
    <row r="11" spans="1:4" ht="15" customHeight="1" x14ac:dyDescent="0.25">
      <c r="A11" s="23"/>
      <c r="B11" s="21"/>
      <c r="C11" s="21"/>
      <c r="D11" s="20"/>
    </row>
    <row r="12" spans="1:4" ht="15" customHeight="1" x14ac:dyDescent="0.25">
      <c r="A12" s="23"/>
      <c r="B12" s="21"/>
      <c r="C12" s="21"/>
      <c r="D12" s="20"/>
    </row>
    <row r="13" spans="1:4" ht="15" customHeight="1" x14ac:dyDescent="0.25">
      <c r="A13" s="23"/>
      <c r="B13" s="21"/>
      <c r="C13" s="21"/>
      <c r="D13" s="20"/>
    </row>
    <row r="14" spans="1:4" ht="15" customHeight="1" x14ac:dyDescent="0.25">
      <c r="A14" s="23"/>
      <c r="B14" s="21"/>
      <c r="C14" s="21"/>
      <c r="D14" s="20"/>
    </row>
    <row r="15" spans="1:4" ht="15" customHeight="1" x14ac:dyDescent="0.25">
      <c r="A15" s="23"/>
      <c r="B15" s="21"/>
      <c r="C15" s="21"/>
      <c r="D15" s="20"/>
    </row>
    <row r="16" spans="1:4" x14ac:dyDescent="0.25">
      <c r="A16" s="23"/>
      <c r="B16" s="21"/>
      <c r="C16" s="21"/>
      <c r="D16" s="24"/>
    </row>
    <row r="17" spans="1:4" x14ac:dyDescent="0.25">
      <c r="A17" s="23"/>
      <c r="B17" s="21"/>
      <c r="C17" s="21"/>
      <c r="D17" s="24"/>
    </row>
    <row r="18" spans="1:4" x14ac:dyDescent="0.25">
      <c r="A18" s="23"/>
      <c r="B18" s="21"/>
      <c r="C18" s="21"/>
      <c r="D18" s="24"/>
    </row>
    <row r="21" spans="1:4" ht="18" x14ac:dyDescent="0.25">
      <c r="A21" s="85" t="s">
        <v>69</v>
      </c>
      <c r="B21" s="85"/>
      <c r="C21" s="85"/>
      <c r="D21" s="85"/>
    </row>
    <row r="22" spans="1:4" ht="25.5" x14ac:dyDescent="0.25">
      <c r="A22" s="58" t="s">
        <v>40</v>
      </c>
      <c r="B22" s="58" t="s">
        <v>41</v>
      </c>
      <c r="C22" s="58" t="s">
        <v>68</v>
      </c>
      <c r="D22" s="58" t="s">
        <v>42</v>
      </c>
    </row>
    <row r="23" spans="1:4" x14ac:dyDescent="0.25">
      <c r="A23" s="20"/>
      <c r="B23" s="21"/>
      <c r="C23" s="21"/>
      <c r="D23" s="20"/>
    </row>
    <row r="24" spans="1:4" x14ac:dyDescent="0.25">
      <c r="A24" s="23"/>
      <c r="B24" s="21"/>
      <c r="C24" s="21"/>
      <c r="D24" s="20"/>
    </row>
    <row r="25" spans="1:4" x14ac:dyDescent="0.25">
      <c r="A25" s="23"/>
      <c r="B25" s="21"/>
      <c r="C25" s="21"/>
      <c r="D25" s="20"/>
    </row>
    <row r="26" spans="1:4" x14ac:dyDescent="0.25">
      <c r="A26" s="23"/>
      <c r="B26" s="21"/>
      <c r="C26" s="21"/>
      <c r="D26" s="20"/>
    </row>
    <row r="27" spans="1:4" x14ac:dyDescent="0.25">
      <c r="A27" s="23"/>
      <c r="B27" s="21"/>
      <c r="C27" s="21"/>
      <c r="D27" s="20"/>
    </row>
    <row r="28" spans="1:4" x14ac:dyDescent="0.25">
      <c r="A28" s="23"/>
      <c r="B28" s="21"/>
      <c r="C28" s="21"/>
      <c r="D28" s="20"/>
    </row>
    <row r="29" spans="1:4" x14ac:dyDescent="0.25">
      <c r="A29" s="23"/>
      <c r="B29" s="22"/>
      <c r="C29" s="22"/>
      <c r="D29" s="20"/>
    </row>
    <row r="30" spans="1:4" x14ac:dyDescent="0.25">
      <c r="A30" s="23"/>
      <c r="B30" s="21"/>
      <c r="C30" s="21"/>
      <c r="D30" s="20"/>
    </row>
    <row r="31" spans="1:4" x14ac:dyDescent="0.25">
      <c r="A31" s="23"/>
      <c r="B31" s="21"/>
      <c r="C31" s="21"/>
      <c r="D31" s="20"/>
    </row>
    <row r="32" spans="1:4" x14ac:dyDescent="0.25">
      <c r="A32" s="23"/>
      <c r="B32" s="21"/>
      <c r="C32" s="21"/>
      <c r="D32" s="20"/>
    </row>
    <row r="33" spans="1:4" x14ac:dyDescent="0.25">
      <c r="A33" s="23"/>
      <c r="B33" s="21"/>
      <c r="C33" s="21"/>
      <c r="D33" s="20"/>
    </row>
    <row r="34" spans="1:4" x14ac:dyDescent="0.25">
      <c r="A34" s="23"/>
      <c r="B34" s="21"/>
      <c r="C34" s="21"/>
      <c r="D34" s="20"/>
    </row>
    <row r="35" spans="1:4" x14ac:dyDescent="0.25">
      <c r="A35" s="23"/>
      <c r="B35" s="21"/>
      <c r="C35" s="21"/>
      <c r="D35" s="20"/>
    </row>
    <row r="36" spans="1:4" x14ac:dyDescent="0.25">
      <c r="A36" s="23"/>
      <c r="B36" s="21"/>
      <c r="C36" s="21"/>
      <c r="D36" s="24"/>
    </row>
    <row r="37" spans="1:4" x14ac:dyDescent="0.25">
      <c r="A37" s="23"/>
      <c r="B37" s="21"/>
      <c r="C37" s="21"/>
      <c r="D37" s="24"/>
    </row>
    <row r="38" spans="1:4" x14ac:dyDescent="0.25">
      <c r="A38" s="23"/>
      <c r="B38" s="21"/>
      <c r="C38" s="21"/>
      <c r="D38" s="24"/>
    </row>
    <row r="42" spans="1:4" ht="18" x14ac:dyDescent="0.25">
      <c r="A42" s="85" t="s">
        <v>70</v>
      </c>
      <c r="B42" s="85"/>
      <c r="C42" s="85"/>
      <c r="D42" s="85"/>
    </row>
    <row r="43" spans="1:4" ht="25.5" x14ac:dyDescent="0.25">
      <c r="A43" s="58" t="s">
        <v>40</v>
      </c>
      <c r="B43" s="58" t="s">
        <v>41</v>
      </c>
      <c r="C43" s="58" t="s">
        <v>68</v>
      </c>
      <c r="D43" s="58" t="s">
        <v>42</v>
      </c>
    </row>
    <row r="44" spans="1:4" x14ac:dyDescent="0.25">
      <c r="A44" s="20"/>
      <c r="B44" s="21"/>
      <c r="C44" s="21"/>
      <c r="D44" s="20"/>
    </row>
    <row r="45" spans="1:4" x14ac:dyDescent="0.25">
      <c r="A45" s="23"/>
      <c r="B45" s="21"/>
      <c r="C45" s="21"/>
      <c r="D45" s="20"/>
    </row>
    <row r="46" spans="1:4" x14ac:dyDescent="0.25">
      <c r="A46" s="23"/>
      <c r="B46" s="21"/>
      <c r="C46" s="21"/>
      <c r="D46" s="20"/>
    </row>
    <row r="47" spans="1:4" x14ac:dyDescent="0.25">
      <c r="A47" s="23"/>
      <c r="B47" s="21"/>
      <c r="C47" s="21"/>
      <c r="D47" s="20"/>
    </row>
    <row r="48" spans="1:4" x14ac:dyDescent="0.25">
      <c r="A48" s="23"/>
      <c r="B48" s="21"/>
      <c r="C48" s="21"/>
      <c r="D48" s="20"/>
    </row>
    <row r="49" spans="1:4" x14ac:dyDescent="0.25">
      <c r="A49" s="23"/>
      <c r="B49" s="21"/>
      <c r="C49" s="21"/>
      <c r="D49" s="20"/>
    </row>
    <row r="50" spans="1:4" x14ac:dyDescent="0.25">
      <c r="A50" s="23"/>
      <c r="B50" s="22"/>
      <c r="C50" s="22"/>
      <c r="D50" s="20"/>
    </row>
    <row r="51" spans="1:4" x14ac:dyDescent="0.25">
      <c r="A51" s="23"/>
      <c r="B51" s="21"/>
      <c r="C51" s="21"/>
      <c r="D51" s="20"/>
    </row>
    <row r="52" spans="1:4" x14ac:dyDescent="0.25">
      <c r="A52" s="23"/>
      <c r="B52" s="21"/>
      <c r="C52" s="21"/>
      <c r="D52" s="20"/>
    </row>
    <row r="53" spans="1:4" x14ac:dyDescent="0.25">
      <c r="A53" s="23"/>
      <c r="B53" s="21"/>
      <c r="C53" s="21"/>
      <c r="D53" s="20"/>
    </row>
    <row r="54" spans="1:4" x14ac:dyDescent="0.25">
      <c r="A54" s="23"/>
      <c r="B54" s="21"/>
      <c r="C54" s="21"/>
      <c r="D54" s="20"/>
    </row>
    <row r="55" spans="1:4" x14ac:dyDescent="0.25">
      <c r="A55" s="23"/>
      <c r="B55" s="21"/>
      <c r="C55" s="21"/>
      <c r="D55" s="20"/>
    </row>
    <row r="56" spans="1:4" x14ac:dyDescent="0.25">
      <c r="A56" s="23"/>
      <c r="B56" s="21"/>
      <c r="C56" s="21"/>
      <c r="D56" s="20"/>
    </row>
    <row r="57" spans="1:4" x14ac:dyDescent="0.25">
      <c r="A57" s="23"/>
      <c r="B57" s="21"/>
      <c r="C57" s="21"/>
      <c r="D57" s="24"/>
    </row>
    <row r="58" spans="1:4" x14ac:dyDescent="0.25">
      <c r="A58" s="23"/>
      <c r="B58" s="21"/>
      <c r="C58" s="21"/>
      <c r="D58" s="24"/>
    </row>
    <row r="59" spans="1:4" x14ac:dyDescent="0.25">
      <c r="A59" s="23"/>
      <c r="B59" s="21"/>
      <c r="C59" s="21"/>
      <c r="D59" s="24"/>
    </row>
  </sheetData>
  <mergeCells count="3">
    <mergeCell ref="A1:D1"/>
    <mergeCell ref="A21:D21"/>
    <mergeCell ref="A42:D42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E23"/>
  <sheetViews>
    <sheetView showGridLines="0" workbookViewId="0">
      <selection activeCell="F29" sqref="F29"/>
    </sheetView>
  </sheetViews>
  <sheetFormatPr baseColWidth="10" defaultColWidth="9.140625" defaultRowHeight="15" x14ac:dyDescent="0.25"/>
  <cols>
    <col min="3" max="3" width="15.85546875" customWidth="1"/>
    <col min="4" max="4" width="69.140625" customWidth="1"/>
    <col min="5" max="5" width="14.28515625" customWidth="1"/>
  </cols>
  <sheetData>
    <row r="1" spans="1: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s="10" customFormat="1" x14ac:dyDescent="0.25">
      <c r="A2" s="7"/>
      <c r="B2" s="9"/>
      <c r="C2" s="9"/>
      <c r="D2" s="8"/>
      <c r="E2" s="11"/>
    </row>
    <row r="3" spans="1:5" s="10" customFormat="1" x14ac:dyDescent="0.25">
      <c r="A3" s="7"/>
      <c r="B3" s="9"/>
      <c r="C3" s="9"/>
      <c r="D3" s="8"/>
      <c r="E3" s="12"/>
    </row>
    <row r="4" spans="1:5" s="10" customFormat="1" x14ac:dyDescent="0.25">
      <c r="A4" s="7"/>
      <c r="B4" s="9"/>
      <c r="C4" s="9"/>
      <c r="D4" s="8"/>
      <c r="E4" s="12"/>
    </row>
    <row r="5" spans="1:5" s="10" customFormat="1" x14ac:dyDescent="0.25">
      <c r="A5" s="7"/>
      <c r="B5" s="9"/>
      <c r="C5" s="9"/>
      <c r="D5" s="8"/>
      <c r="E5" s="12"/>
    </row>
    <row r="6" spans="1:5" s="10" customFormat="1" x14ac:dyDescent="0.25">
      <c r="A6" s="7"/>
      <c r="B6" s="9"/>
      <c r="C6" s="9"/>
      <c r="D6" s="8"/>
      <c r="E6" s="12"/>
    </row>
    <row r="7" spans="1:5" s="10" customFormat="1" x14ac:dyDescent="0.25">
      <c r="A7" s="7"/>
      <c r="B7" s="9"/>
      <c r="C7" s="9"/>
      <c r="D7" s="8"/>
      <c r="E7" s="12"/>
    </row>
    <row r="8" spans="1:5" s="10" customFormat="1" x14ac:dyDescent="0.25">
      <c r="A8" s="7"/>
      <c r="B8" s="9"/>
      <c r="C8" s="9"/>
      <c r="D8" s="8"/>
      <c r="E8" s="12"/>
    </row>
    <row r="9" spans="1:5" s="10" customFormat="1" x14ac:dyDescent="0.25">
      <c r="A9" s="7"/>
      <c r="B9" s="9"/>
      <c r="C9" s="9"/>
      <c r="D9" s="8"/>
      <c r="E9" s="12"/>
    </row>
    <row r="10" spans="1:5" s="10" customFormat="1" x14ac:dyDescent="0.25">
      <c r="A10" s="7"/>
      <c r="B10" s="9"/>
      <c r="C10" s="9"/>
      <c r="D10" s="8"/>
      <c r="E10" s="12"/>
    </row>
    <row r="11" spans="1:5" s="10" customFormat="1" x14ac:dyDescent="0.25">
      <c r="A11" s="7"/>
      <c r="B11" s="9"/>
      <c r="C11" s="9"/>
      <c r="D11" s="8"/>
      <c r="E11" s="12"/>
    </row>
    <row r="12" spans="1:5" s="10" customFormat="1" x14ac:dyDescent="0.25">
      <c r="A12" s="7"/>
      <c r="B12" s="9"/>
      <c r="C12" s="9"/>
      <c r="D12" s="8"/>
      <c r="E12" s="12"/>
    </row>
    <row r="13" spans="1:5" x14ac:dyDescent="0.25">
      <c r="A13" s="1"/>
      <c r="B13" s="1"/>
      <c r="C13" s="1"/>
      <c r="D13" s="1"/>
      <c r="E13" s="3"/>
    </row>
    <row r="14" spans="1:5" x14ac:dyDescent="0.25">
      <c r="A14" s="1"/>
      <c r="B14" s="1"/>
      <c r="C14" s="1"/>
      <c r="D14" s="1"/>
      <c r="E14" s="3"/>
    </row>
    <row r="15" spans="1:5" x14ac:dyDescent="0.25">
      <c r="A15" s="1"/>
      <c r="B15" s="1"/>
      <c r="C15" s="1"/>
      <c r="D15" s="1"/>
      <c r="E15" s="3"/>
    </row>
    <row r="16" spans="1:5" x14ac:dyDescent="0.25">
      <c r="A16" s="1"/>
      <c r="B16" s="1"/>
      <c r="C16" s="1"/>
      <c r="D16" s="1"/>
      <c r="E16" s="3"/>
    </row>
    <row r="17" spans="1:5" x14ac:dyDescent="0.25">
      <c r="A17" s="1"/>
      <c r="B17" s="1"/>
      <c r="C17" s="1"/>
      <c r="D17" s="1"/>
      <c r="E17" s="3"/>
    </row>
    <row r="18" spans="1:5" ht="21" x14ac:dyDescent="0.35">
      <c r="D18" s="4" t="s">
        <v>8</v>
      </c>
      <c r="E18" s="55">
        <f>SUM(E2:E12)</f>
        <v>0</v>
      </c>
    </row>
    <row r="19" spans="1:5" ht="21" x14ac:dyDescent="0.35">
      <c r="E19" s="56"/>
    </row>
    <row r="20" spans="1:5" ht="21" x14ac:dyDescent="0.35">
      <c r="D20" s="4" t="s">
        <v>20</v>
      </c>
      <c r="E20" s="55">
        <v>0</v>
      </c>
    </row>
    <row r="21" spans="1:5" ht="21" x14ac:dyDescent="0.35">
      <c r="D21" s="4" t="s">
        <v>19</v>
      </c>
      <c r="E21" s="57">
        <v>0</v>
      </c>
    </row>
    <row r="22" spans="1:5" ht="21" x14ac:dyDescent="0.35">
      <c r="D22" s="4" t="s">
        <v>21</v>
      </c>
      <c r="E22" s="57">
        <f>E20*E21</f>
        <v>0</v>
      </c>
    </row>
    <row r="23" spans="1:5" ht="21" x14ac:dyDescent="0.35">
      <c r="D23" s="4" t="s">
        <v>9</v>
      </c>
      <c r="E23" s="57" t="e">
        <f>E18/E22</f>
        <v>#DIV/0!</v>
      </c>
    </row>
  </sheetData>
  <sortState xmlns:xlrd2="http://schemas.microsoft.com/office/spreadsheetml/2017/richdata2" ref="A2:E12">
    <sortCondition ref="C2:C12"/>
    <sortCondition ref="B2:B12"/>
  </sortState>
  <dataValidations count="1">
    <dataValidation type="list" allowBlank="1" showInputMessage="1" showErrorMessage="1" sqref="C2:C17" xr:uid="{00000000-0002-0000-0300-000000000000}">
      <formula1>"01 MUY ALTA,02 ALTA,03 BAJA"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E27"/>
  <sheetViews>
    <sheetView showGridLines="0" zoomScaleNormal="100" workbookViewId="0">
      <selection activeCell="H37" sqref="H37"/>
    </sheetView>
  </sheetViews>
  <sheetFormatPr baseColWidth="10" defaultRowHeight="15" x14ac:dyDescent="0.25"/>
  <cols>
    <col min="1" max="1" width="28" customWidth="1"/>
    <col min="2" max="2" width="65.140625" customWidth="1"/>
    <col min="3" max="3" width="26.85546875" customWidth="1"/>
    <col min="4" max="4" width="14" bestFit="1" customWidth="1"/>
    <col min="5" max="5" width="21.85546875" customWidth="1"/>
  </cols>
  <sheetData>
    <row r="1" spans="1:5" ht="18" customHeight="1" x14ac:dyDescent="0.25">
      <c r="A1" s="86"/>
      <c r="B1" s="86"/>
      <c r="C1" s="86"/>
      <c r="D1" s="86"/>
      <c r="E1" s="86"/>
    </row>
    <row r="2" spans="1:5" ht="30" x14ac:dyDescent="0.25">
      <c r="A2" s="2" t="s">
        <v>43</v>
      </c>
      <c r="B2" s="2" t="s">
        <v>5</v>
      </c>
      <c r="C2" s="2" t="s">
        <v>6</v>
      </c>
      <c r="D2" s="5" t="s">
        <v>11</v>
      </c>
      <c r="E2" s="2" t="s">
        <v>7</v>
      </c>
    </row>
    <row r="3" spans="1:5" x14ac:dyDescent="0.25">
      <c r="A3" s="20"/>
      <c r="B3" s="21"/>
      <c r="C3" s="1"/>
      <c r="D3" s="20"/>
      <c r="E3" s="1" t="s">
        <v>44</v>
      </c>
    </row>
    <row r="4" spans="1:5" x14ac:dyDescent="0.25">
      <c r="A4" s="23"/>
      <c r="B4" s="21"/>
      <c r="C4" s="1"/>
      <c r="D4" s="20"/>
      <c r="E4" s="1" t="s">
        <v>44</v>
      </c>
    </row>
    <row r="5" spans="1:5" x14ac:dyDescent="0.25">
      <c r="A5" s="23"/>
      <c r="B5" s="21"/>
      <c r="C5" s="1"/>
      <c r="D5" s="20"/>
      <c r="E5" s="1" t="s">
        <v>44</v>
      </c>
    </row>
    <row r="6" spans="1:5" x14ac:dyDescent="0.25">
      <c r="A6" s="23"/>
      <c r="B6" s="21"/>
      <c r="C6" s="1"/>
      <c r="D6" s="20"/>
      <c r="E6" s="1" t="s">
        <v>44</v>
      </c>
    </row>
    <row r="7" spans="1:5" x14ac:dyDescent="0.25">
      <c r="A7" s="23"/>
      <c r="B7" s="21"/>
      <c r="C7" s="1"/>
      <c r="D7" s="20"/>
      <c r="E7" s="1" t="s">
        <v>44</v>
      </c>
    </row>
    <row r="8" spans="1:5" x14ac:dyDescent="0.25">
      <c r="A8" s="23"/>
      <c r="B8" s="21"/>
      <c r="C8" s="1"/>
      <c r="D8" s="20"/>
      <c r="E8" s="1" t="s">
        <v>44</v>
      </c>
    </row>
    <row r="9" spans="1:5" x14ac:dyDescent="0.25">
      <c r="A9" s="23"/>
      <c r="B9" s="22"/>
      <c r="C9" s="1"/>
      <c r="D9" s="20"/>
      <c r="E9" s="1" t="s">
        <v>44</v>
      </c>
    </row>
    <row r="10" spans="1:5" x14ac:dyDescent="0.25">
      <c r="A10" s="23"/>
      <c r="B10" s="21"/>
      <c r="C10" s="1"/>
      <c r="D10" s="20"/>
      <c r="E10" s="1" t="s">
        <v>44</v>
      </c>
    </row>
    <row r="11" spans="1:5" x14ac:dyDescent="0.25">
      <c r="A11" s="23"/>
      <c r="B11" s="21"/>
      <c r="C11" s="1"/>
      <c r="D11" s="20"/>
      <c r="E11" s="1" t="s">
        <v>44</v>
      </c>
    </row>
    <row r="12" spans="1:5" x14ac:dyDescent="0.25">
      <c r="A12" s="23"/>
      <c r="B12" s="21"/>
      <c r="C12" s="1"/>
      <c r="D12" s="20"/>
      <c r="E12" s="1" t="s">
        <v>44</v>
      </c>
    </row>
    <row r="13" spans="1:5" x14ac:dyDescent="0.25">
      <c r="A13" s="23"/>
      <c r="B13" s="21"/>
      <c r="C13" s="1"/>
      <c r="D13" s="20"/>
      <c r="E13" s="1" t="s">
        <v>44</v>
      </c>
    </row>
    <row r="14" spans="1:5" x14ac:dyDescent="0.25">
      <c r="A14" s="23"/>
      <c r="B14" s="21"/>
      <c r="C14" s="1"/>
      <c r="D14" s="20"/>
      <c r="E14" s="1" t="s">
        <v>44</v>
      </c>
    </row>
    <row r="15" spans="1:5" x14ac:dyDescent="0.25">
      <c r="A15" s="23"/>
      <c r="B15" s="21"/>
      <c r="C15" s="1"/>
      <c r="D15" s="20"/>
      <c r="E15" s="1" t="s">
        <v>44</v>
      </c>
    </row>
    <row r="16" spans="1:5" x14ac:dyDescent="0.25">
      <c r="A16" s="23"/>
      <c r="B16" s="21"/>
      <c r="C16" s="1"/>
      <c r="D16" s="24"/>
      <c r="E16" s="1" t="s">
        <v>44</v>
      </c>
    </row>
    <row r="17" spans="1:5" x14ac:dyDescent="0.25">
      <c r="A17" s="23"/>
      <c r="B17" s="21"/>
      <c r="C17" s="1"/>
      <c r="D17" s="24"/>
      <c r="E17" s="1" t="s">
        <v>44</v>
      </c>
    </row>
    <row r="18" spans="1:5" x14ac:dyDescent="0.25">
      <c r="A18" s="23"/>
      <c r="B18" s="21"/>
      <c r="C18" s="1"/>
      <c r="D18" s="24"/>
      <c r="E18" s="1" t="s">
        <v>44</v>
      </c>
    </row>
    <row r="19" spans="1:5" ht="23.25" x14ac:dyDescent="0.35">
      <c r="C19" s="4" t="s">
        <v>8</v>
      </c>
      <c r="D19" s="60">
        <f>SUM(D3:D18)</f>
        <v>0</v>
      </c>
    </row>
    <row r="20" spans="1:5" ht="23.25" x14ac:dyDescent="0.35">
      <c r="D20" s="61"/>
    </row>
    <row r="21" spans="1:5" ht="23.25" x14ac:dyDescent="0.35">
      <c r="C21" s="4" t="s">
        <v>20</v>
      </c>
      <c r="D21" s="60">
        <f>'6 ESTIMACION - PRODUCT BACKLOG'!E20</f>
        <v>0</v>
      </c>
    </row>
    <row r="22" spans="1:5" ht="23.25" x14ac:dyDescent="0.35">
      <c r="A22" t="s">
        <v>10</v>
      </c>
      <c r="C22" s="4" t="s">
        <v>19</v>
      </c>
      <c r="D22" s="62">
        <v>0</v>
      </c>
    </row>
    <row r="23" spans="1:5" ht="23.25" x14ac:dyDescent="0.35">
      <c r="A23" s="22" t="s">
        <v>22</v>
      </c>
      <c r="C23" s="4" t="s">
        <v>21</v>
      </c>
      <c r="D23" s="62">
        <f>D21*D22</f>
        <v>0</v>
      </c>
    </row>
    <row r="24" spans="1:5" ht="23.25" x14ac:dyDescent="0.35">
      <c r="A24" s="22" t="s">
        <v>23</v>
      </c>
      <c r="C24" s="4" t="s">
        <v>9</v>
      </c>
      <c r="D24" s="62" t="e">
        <f>D19/D23</f>
        <v>#DIV/0!</v>
      </c>
    </row>
    <row r="25" spans="1:5" x14ac:dyDescent="0.25">
      <c r="A25" s="22" t="s">
        <v>24</v>
      </c>
    </row>
    <row r="26" spans="1:5" x14ac:dyDescent="0.25">
      <c r="A26" s="22" t="s">
        <v>25</v>
      </c>
    </row>
    <row r="27" spans="1:5" x14ac:dyDescent="0.25">
      <c r="A27" s="22" t="s">
        <v>26</v>
      </c>
    </row>
  </sheetData>
  <mergeCells count="1">
    <mergeCell ref="A1:E1"/>
  </mergeCells>
  <conditionalFormatting sqref="E3:E18">
    <cfRule type="containsText" dxfId="5" priority="1" operator="containsText" text="TERMINADA">
      <formula>NOT(ISERROR(SEARCH("TERMINADA",E3)))</formula>
    </cfRule>
    <cfRule type="containsText" dxfId="4" priority="2" operator="containsText" text="NO INICIADA">
      <formula>NOT(ISERROR(SEARCH("NO INICIADA",E3)))</formula>
    </cfRule>
    <cfRule type="containsText" dxfId="3" priority="3" operator="containsText" text="EN PROGRESO">
      <formula>NOT(ISERROR(SEARCH("EN PROGRESO",E3)))</formula>
    </cfRule>
  </conditionalFormatting>
  <dataValidations count="2">
    <dataValidation type="list" allowBlank="1" showInputMessage="1" showErrorMessage="1" sqref="E3:E18" xr:uid="{00000000-0002-0000-0400-000000000000}">
      <formula1>"NO INICIADA,EN PROGRESO,TERMINADA"</formula1>
    </dataValidation>
    <dataValidation type="list" allowBlank="1" showInputMessage="1" showErrorMessage="1" sqref="C3:C18" xr:uid="{00000000-0002-0000-0400-000001000000}">
      <formula1>$A$23:$A$27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I26"/>
  <sheetViews>
    <sheetView zoomScale="85" zoomScaleNormal="85" workbookViewId="0">
      <selection activeCell="F42" sqref="F42"/>
    </sheetView>
  </sheetViews>
  <sheetFormatPr baseColWidth="10" defaultRowHeight="15" x14ac:dyDescent="0.25"/>
  <cols>
    <col min="1" max="1" width="24.85546875" customWidth="1"/>
    <col min="2" max="2" width="84.7109375" customWidth="1"/>
    <col min="3" max="3" width="26.85546875" customWidth="1"/>
    <col min="4" max="8" width="16.7109375" customWidth="1"/>
    <col min="9" max="9" width="21.85546875" customWidth="1"/>
  </cols>
  <sheetData>
    <row r="1" spans="1:9" ht="30" x14ac:dyDescent="0.25">
      <c r="A1" s="2" t="s">
        <v>43</v>
      </c>
      <c r="B1" s="2" t="s">
        <v>5</v>
      </c>
      <c r="C1" s="2" t="s">
        <v>6</v>
      </c>
      <c r="D1" s="5" t="s">
        <v>11</v>
      </c>
      <c r="E1" s="6" t="s">
        <v>13</v>
      </c>
      <c r="F1" s="6" t="s">
        <v>12</v>
      </c>
      <c r="G1" s="6" t="s">
        <v>14</v>
      </c>
      <c r="H1" s="6" t="s">
        <v>15</v>
      </c>
      <c r="I1" s="2" t="s">
        <v>7</v>
      </c>
    </row>
    <row r="2" spans="1:9" x14ac:dyDescent="0.25">
      <c r="A2" s="20"/>
      <c r="B2" s="21"/>
      <c r="C2" s="1"/>
      <c r="D2" s="25"/>
      <c r="E2" s="27"/>
      <c r="F2" s="27"/>
      <c r="G2" s="54">
        <f>D2-H2</f>
        <v>0</v>
      </c>
      <c r="H2" s="54">
        <f>E2+F2</f>
        <v>0</v>
      </c>
      <c r="I2" s="1" t="str">
        <f>IF(E2=0,"NO INICIADA",
IF(G2&lt;=0,"FINALIZADA","EN PROCESO"))</f>
        <v>NO INICIADA</v>
      </c>
    </row>
    <row r="3" spans="1:9" x14ac:dyDescent="0.25">
      <c r="A3" s="23"/>
      <c r="B3" s="21"/>
      <c r="C3" s="1"/>
      <c r="D3" s="25"/>
      <c r="E3" s="27"/>
      <c r="F3" s="27"/>
      <c r="G3" s="54">
        <f t="shared" ref="G3:G17" si="0">D3-H3</f>
        <v>0</v>
      </c>
      <c r="H3" s="54">
        <f t="shared" ref="H3:H17" si="1">E3+F3</f>
        <v>0</v>
      </c>
      <c r="I3" s="1" t="str">
        <f t="shared" ref="I3:I17" si="2">IF(E3=0,"NO INICIADA",
IF(G3&lt;=0,"FINALIZADA","EN PROCESO"))</f>
        <v>NO INICIADA</v>
      </c>
    </row>
    <row r="4" spans="1:9" x14ac:dyDescent="0.25">
      <c r="A4" s="23"/>
      <c r="B4" s="21"/>
      <c r="C4" s="1"/>
      <c r="D4" s="25"/>
      <c r="E4" s="27"/>
      <c r="F4" s="27"/>
      <c r="G4" s="54">
        <f t="shared" si="0"/>
        <v>0</v>
      </c>
      <c r="H4" s="54">
        <f t="shared" si="1"/>
        <v>0</v>
      </c>
      <c r="I4" s="1" t="str">
        <f t="shared" si="2"/>
        <v>NO INICIADA</v>
      </c>
    </row>
    <row r="5" spans="1:9" x14ac:dyDescent="0.25">
      <c r="A5" s="23"/>
      <c r="B5" s="21"/>
      <c r="C5" s="1"/>
      <c r="D5" s="25"/>
      <c r="E5" s="27"/>
      <c r="F5" s="27"/>
      <c r="G5" s="54">
        <f t="shared" si="0"/>
        <v>0</v>
      </c>
      <c r="H5" s="54">
        <f t="shared" si="1"/>
        <v>0</v>
      </c>
      <c r="I5" s="1" t="str">
        <f t="shared" si="2"/>
        <v>NO INICIADA</v>
      </c>
    </row>
    <row r="6" spans="1:9" x14ac:dyDescent="0.25">
      <c r="A6" s="23"/>
      <c r="B6" s="21"/>
      <c r="C6" s="1"/>
      <c r="D6" s="25"/>
      <c r="E6" s="27"/>
      <c r="F6" s="27"/>
      <c r="G6" s="54">
        <f t="shared" si="0"/>
        <v>0</v>
      </c>
      <c r="H6" s="54">
        <f t="shared" si="1"/>
        <v>0</v>
      </c>
      <c r="I6" s="1" t="str">
        <f t="shared" si="2"/>
        <v>NO INICIADA</v>
      </c>
    </row>
    <row r="7" spans="1:9" x14ac:dyDescent="0.25">
      <c r="A7" s="23"/>
      <c r="B7" s="21"/>
      <c r="C7" s="1"/>
      <c r="D7" s="25"/>
      <c r="E7" s="27"/>
      <c r="F7" s="27"/>
      <c r="G7" s="54">
        <f t="shared" si="0"/>
        <v>0</v>
      </c>
      <c r="H7" s="54">
        <f t="shared" si="1"/>
        <v>0</v>
      </c>
      <c r="I7" s="1" t="str">
        <f t="shared" si="2"/>
        <v>NO INICIADA</v>
      </c>
    </row>
    <row r="8" spans="1:9" x14ac:dyDescent="0.25">
      <c r="A8" s="23"/>
      <c r="B8" s="22"/>
      <c r="C8" s="1"/>
      <c r="D8" s="25"/>
      <c r="E8" s="27"/>
      <c r="F8" s="27"/>
      <c r="G8" s="54">
        <f t="shared" si="0"/>
        <v>0</v>
      </c>
      <c r="H8" s="54">
        <f t="shared" si="1"/>
        <v>0</v>
      </c>
      <c r="I8" s="1" t="str">
        <f t="shared" si="2"/>
        <v>NO INICIADA</v>
      </c>
    </row>
    <row r="9" spans="1:9" x14ac:dyDescent="0.25">
      <c r="A9" s="23"/>
      <c r="B9" s="21"/>
      <c r="C9" s="1"/>
      <c r="D9" s="25"/>
      <c r="E9" s="27"/>
      <c r="F9" s="27"/>
      <c r="G9" s="54">
        <f t="shared" si="0"/>
        <v>0</v>
      </c>
      <c r="H9" s="54">
        <f t="shared" si="1"/>
        <v>0</v>
      </c>
      <c r="I9" s="1" t="str">
        <f t="shared" si="2"/>
        <v>NO INICIADA</v>
      </c>
    </row>
    <row r="10" spans="1:9" x14ac:dyDescent="0.25">
      <c r="A10" s="23"/>
      <c r="B10" s="21"/>
      <c r="C10" s="1"/>
      <c r="D10" s="25"/>
      <c r="E10" s="27"/>
      <c r="F10" s="27"/>
      <c r="G10" s="54">
        <f t="shared" si="0"/>
        <v>0</v>
      </c>
      <c r="H10" s="54">
        <f t="shared" si="1"/>
        <v>0</v>
      </c>
      <c r="I10" s="1" t="str">
        <f t="shared" si="2"/>
        <v>NO INICIADA</v>
      </c>
    </row>
    <row r="11" spans="1:9" x14ac:dyDescent="0.25">
      <c r="A11" s="23"/>
      <c r="B11" s="21"/>
      <c r="C11" s="1"/>
      <c r="D11" s="25"/>
      <c r="E11" s="27"/>
      <c r="F11" s="27"/>
      <c r="G11" s="54">
        <f t="shared" si="0"/>
        <v>0</v>
      </c>
      <c r="H11" s="54">
        <f t="shared" si="1"/>
        <v>0</v>
      </c>
      <c r="I11" s="1" t="str">
        <f t="shared" si="2"/>
        <v>NO INICIADA</v>
      </c>
    </row>
    <row r="12" spans="1:9" x14ac:dyDescent="0.25">
      <c r="A12" s="23"/>
      <c r="B12" s="21"/>
      <c r="C12" s="1"/>
      <c r="D12" s="25"/>
      <c r="E12" s="27"/>
      <c r="F12" s="27"/>
      <c r="G12" s="54">
        <f t="shared" si="0"/>
        <v>0</v>
      </c>
      <c r="H12" s="54">
        <f t="shared" si="1"/>
        <v>0</v>
      </c>
      <c r="I12" s="1" t="str">
        <f t="shared" si="2"/>
        <v>NO INICIADA</v>
      </c>
    </row>
    <row r="13" spans="1:9" x14ac:dyDescent="0.25">
      <c r="A13" s="23"/>
      <c r="B13" s="21"/>
      <c r="C13" s="1"/>
      <c r="D13" s="25"/>
      <c r="E13" s="27"/>
      <c r="F13" s="27"/>
      <c r="G13" s="54">
        <f t="shared" si="0"/>
        <v>0</v>
      </c>
      <c r="H13" s="54">
        <f t="shared" si="1"/>
        <v>0</v>
      </c>
      <c r="I13" s="1" t="str">
        <f t="shared" si="2"/>
        <v>NO INICIADA</v>
      </c>
    </row>
    <row r="14" spans="1:9" x14ac:dyDescent="0.25">
      <c r="A14" s="23"/>
      <c r="B14" s="21"/>
      <c r="C14" s="1"/>
      <c r="D14" s="25"/>
      <c r="E14" s="27"/>
      <c r="F14" s="27"/>
      <c r="G14" s="54">
        <f t="shared" si="0"/>
        <v>0</v>
      </c>
      <c r="H14" s="54">
        <f t="shared" si="1"/>
        <v>0</v>
      </c>
      <c r="I14" s="1" t="str">
        <f t="shared" si="2"/>
        <v>NO INICIADA</v>
      </c>
    </row>
    <row r="15" spans="1:9" x14ac:dyDescent="0.25">
      <c r="A15" s="23"/>
      <c r="B15" s="21"/>
      <c r="C15" s="1"/>
      <c r="D15" s="7"/>
      <c r="E15" s="27"/>
      <c r="F15" s="27"/>
      <c r="G15" s="54">
        <f t="shared" si="0"/>
        <v>0</v>
      </c>
      <c r="H15" s="54">
        <f t="shared" si="1"/>
        <v>0</v>
      </c>
      <c r="I15" s="1" t="str">
        <f t="shared" si="2"/>
        <v>NO INICIADA</v>
      </c>
    </row>
    <row r="16" spans="1:9" x14ac:dyDescent="0.25">
      <c r="A16" s="23"/>
      <c r="B16" s="21"/>
      <c r="C16" s="1"/>
      <c r="D16" s="7"/>
      <c r="E16" s="27"/>
      <c r="F16" s="27"/>
      <c r="G16" s="54">
        <f t="shared" si="0"/>
        <v>0</v>
      </c>
      <c r="H16" s="54">
        <f t="shared" si="1"/>
        <v>0</v>
      </c>
      <c r="I16" s="1" t="str">
        <f t="shared" si="2"/>
        <v>NO INICIADA</v>
      </c>
    </row>
    <row r="17" spans="1:9" x14ac:dyDescent="0.25">
      <c r="A17" s="23"/>
      <c r="B17" s="21"/>
      <c r="C17" s="1"/>
      <c r="D17" s="7"/>
      <c r="E17" s="27"/>
      <c r="F17" s="27"/>
      <c r="G17" s="54">
        <f t="shared" si="0"/>
        <v>0</v>
      </c>
      <c r="H17" s="54">
        <f t="shared" si="1"/>
        <v>0</v>
      </c>
      <c r="I17" s="1" t="str">
        <f t="shared" si="2"/>
        <v>NO INICIADA</v>
      </c>
    </row>
    <row r="19" spans="1:9" x14ac:dyDescent="0.25">
      <c r="E19" s="87" t="s">
        <v>16</v>
      </c>
      <c r="F19" s="87"/>
      <c r="G19" s="87"/>
      <c r="H19" s="28">
        <f>SUM(H2:H17)</f>
        <v>0</v>
      </c>
    </row>
    <row r="20" spans="1:9" x14ac:dyDescent="0.25">
      <c r="H20" s="29"/>
    </row>
    <row r="21" spans="1:9" x14ac:dyDescent="0.25">
      <c r="A21" t="s">
        <v>10</v>
      </c>
      <c r="E21" s="87" t="s">
        <v>17</v>
      </c>
      <c r="F21" s="87"/>
      <c r="G21" s="88"/>
      <c r="H21" s="30">
        <f>COUNTIF(I2:I17,"FINALIZADA")</f>
        <v>0</v>
      </c>
    </row>
    <row r="22" spans="1:9" x14ac:dyDescent="0.25">
      <c r="A22" t="str">
        <f>'7 SEGUIMIENTO -SPRINT BACKLOG01'!A23</f>
        <v>T01</v>
      </c>
      <c r="H22" s="29"/>
    </row>
    <row r="23" spans="1:9" x14ac:dyDescent="0.25">
      <c r="A23" t="str">
        <f>'7 SEGUIMIENTO -SPRINT BACKLOG01'!A24</f>
        <v>T02</v>
      </c>
      <c r="E23" s="87" t="s">
        <v>18</v>
      </c>
      <c r="F23" s="87"/>
      <c r="G23" s="87"/>
      <c r="H23" s="30">
        <v>0</v>
      </c>
    </row>
    <row r="24" spans="1:9" x14ac:dyDescent="0.25">
      <c r="A24" t="str">
        <f>'7 SEGUIMIENTO -SPRINT BACKLOG01'!A25</f>
        <v>T03</v>
      </c>
    </row>
    <row r="25" spans="1:9" x14ac:dyDescent="0.25">
      <c r="A25" t="str">
        <f>'7 SEGUIMIENTO -SPRINT BACKLOG01'!A26</f>
        <v>T04</v>
      </c>
    </row>
    <row r="26" spans="1:9" x14ac:dyDescent="0.25">
      <c r="A26" t="str">
        <f>'7 SEGUIMIENTO -SPRINT BACKLOG01'!A27</f>
        <v>T05</v>
      </c>
    </row>
  </sheetData>
  <mergeCells count="3">
    <mergeCell ref="E19:G19"/>
    <mergeCell ref="E21:G21"/>
    <mergeCell ref="E23:G23"/>
  </mergeCells>
  <conditionalFormatting sqref="I2:I17">
    <cfRule type="containsText" dxfId="2" priority="1" operator="containsText" text="FINALIZADA">
      <formula>NOT(ISERROR(SEARCH("FINALIZADA",I2)))</formula>
    </cfRule>
    <cfRule type="containsText" dxfId="1" priority="2" operator="containsText" text="NO INICIADA">
      <formula>NOT(ISERROR(SEARCH("NO INICIADA",I2)))</formula>
    </cfRule>
    <cfRule type="containsText" dxfId="0" priority="3" operator="containsText" text="EN PROCESO">
      <formula>NOT(ISERROR(SEARCH("EN PROCESO",I2)))</formula>
    </cfRule>
  </conditionalFormatting>
  <dataValidations count="1">
    <dataValidation type="list" allowBlank="1" showInputMessage="1" showErrorMessage="1" sqref="C2:C17" xr:uid="{00000000-0002-0000-0500-000002000000}">
      <formula1>$A$23:$A$27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theme="9" tint="0.59999389629810485"/>
  </sheetPr>
  <dimension ref="A1:T30"/>
  <sheetViews>
    <sheetView showGridLines="0" zoomScale="70" zoomScaleNormal="70" workbookViewId="0">
      <selection activeCell="Y48" sqref="Y48"/>
    </sheetView>
  </sheetViews>
  <sheetFormatPr baseColWidth="10" defaultColWidth="8.85546875" defaultRowHeight="15" x14ac:dyDescent="0.25"/>
  <cols>
    <col min="1" max="1" width="3.7109375" style="47" customWidth="1"/>
    <col min="2" max="2" width="5" style="48" customWidth="1"/>
    <col min="3" max="3" width="10.28515625" style="48" customWidth="1"/>
    <col min="4" max="4" width="9.140625" style="48" customWidth="1"/>
    <col min="5" max="5" width="10.5703125" style="48" customWidth="1"/>
    <col min="6" max="6" width="8.42578125" style="48" customWidth="1"/>
    <col min="7" max="7" width="9.140625" style="48" customWidth="1"/>
    <col min="8" max="8" width="1.42578125" customWidth="1"/>
    <col min="257" max="257" width="3.7109375" customWidth="1"/>
    <col min="258" max="258" width="5" customWidth="1"/>
    <col min="259" max="259" width="10.28515625" customWidth="1"/>
    <col min="260" max="260" width="9.140625" customWidth="1"/>
    <col min="261" max="261" width="10.5703125" customWidth="1"/>
    <col min="262" max="262" width="8.42578125" customWidth="1"/>
    <col min="263" max="263" width="9.140625" customWidth="1"/>
    <col min="264" max="264" width="1.42578125" customWidth="1"/>
    <col min="513" max="513" width="3.7109375" customWidth="1"/>
    <col min="514" max="514" width="5" customWidth="1"/>
    <col min="515" max="515" width="10.28515625" customWidth="1"/>
    <col min="516" max="516" width="9.140625" customWidth="1"/>
    <col min="517" max="517" width="10.5703125" customWidth="1"/>
    <col min="518" max="518" width="8.42578125" customWidth="1"/>
    <col min="519" max="519" width="9.140625" customWidth="1"/>
    <col min="520" max="520" width="1.42578125" customWidth="1"/>
    <col min="769" max="769" width="3.7109375" customWidth="1"/>
    <col min="770" max="770" width="5" customWidth="1"/>
    <col min="771" max="771" width="10.28515625" customWidth="1"/>
    <col min="772" max="772" width="9.140625" customWidth="1"/>
    <col min="773" max="773" width="10.5703125" customWidth="1"/>
    <col min="774" max="774" width="8.42578125" customWidth="1"/>
    <col min="775" max="775" width="9.140625" customWidth="1"/>
    <col min="776" max="776" width="1.42578125" customWidth="1"/>
    <col min="1025" max="1025" width="3.7109375" customWidth="1"/>
    <col min="1026" max="1026" width="5" customWidth="1"/>
    <col min="1027" max="1027" width="10.28515625" customWidth="1"/>
    <col min="1028" max="1028" width="9.140625" customWidth="1"/>
    <col min="1029" max="1029" width="10.5703125" customWidth="1"/>
    <col min="1030" max="1030" width="8.42578125" customWidth="1"/>
    <col min="1031" max="1031" width="9.140625" customWidth="1"/>
    <col min="1032" max="1032" width="1.42578125" customWidth="1"/>
    <col min="1281" max="1281" width="3.7109375" customWidth="1"/>
    <col min="1282" max="1282" width="5" customWidth="1"/>
    <col min="1283" max="1283" width="10.28515625" customWidth="1"/>
    <col min="1284" max="1284" width="9.140625" customWidth="1"/>
    <col min="1285" max="1285" width="10.5703125" customWidth="1"/>
    <col min="1286" max="1286" width="8.42578125" customWidth="1"/>
    <col min="1287" max="1287" width="9.140625" customWidth="1"/>
    <col min="1288" max="1288" width="1.42578125" customWidth="1"/>
    <col min="1537" max="1537" width="3.7109375" customWidth="1"/>
    <col min="1538" max="1538" width="5" customWidth="1"/>
    <col min="1539" max="1539" width="10.28515625" customWidth="1"/>
    <col min="1540" max="1540" width="9.140625" customWidth="1"/>
    <col min="1541" max="1541" width="10.5703125" customWidth="1"/>
    <col min="1542" max="1542" width="8.42578125" customWidth="1"/>
    <col min="1543" max="1543" width="9.140625" customWidth="1"/>
    <col min="1544" max="1544" width="1.42578125" customWidth="1"/>
    <col min="1793" max="1793" width="3.7109375" customWidth="1"/>
    <col min="1794" max="1794" width="5" customWidth="1"/>
    <col min="1795" max="1795" width="10.28515625" customWidth="1"/>
    <col min="1796" max="1796" width="9.140625" customWidth="1"/>
    <col min="1797" max="1797" width="10.5703125" customWidth="1"/>
    <col min="1798" max="1798" width="8.42578125" customWidth="1"/>
    <col min="1799" max="1799" width="9.140625" customWidth="1"/>
    <col min="1800" max="1800" width="1.42578125" customWidth="1"/>
    <col min="2049" max="2049" width="3.7109375" customWidth="1"/>
    <col min="2050" max="2050" width="5" customWidth="1"/>
    <col min="2051" max="2051" width="10.28515625" customWidth="1"/>
    <col min="2052" max="2052" width="9.140625" customWidth="1"/>
    <col min="2053" max="2053" width="10.5703125" customWidth="1"/>
    <col min="2054" max="2054" width="8.42578125" customWidth="1"/>
    <col min="2055" max="2055" width="9.140625" customWidth="1"/>
    <col min="2056" max="2056" width="1.42578125" customWidth="1"/>
    <col min="2305" max="2305" width="3.7109375" customWidth="1"/>
    <col min="2306" max="2306" width="5" customWidth="1"/>
    <col min="2307" max="2307" width="10.28515625" customWidth="1"/>
    <col min="2308" max="2308" width="9.140625" customWidth="1"/>
    <col min="2309" max="2309" width="10.5703125" customWidth="1"/>
    <col min="2310" max="2310" width="8.42578125" customWidth="1"/>
    <col min="2311" max="2311" width="9.140625" customWidth="1"/>
    <col min="2312" max="2312" width="1.42578125" customWidth="1"/>
    <col min="2561" max="2561" width="3.7109375" customWidth="1"/>
    <col min="2562" max="2562" width="5" customWidth="1"/>
    <col min="2563" max="2563" width="10.28515625" customWidth="1"/>
    <col min="2564" max="2564" width="9.140625" customWidth="1"/>
    <col min="2565" max="2565" width="10.5703125" customWidth="1"/>
    <col min="2566" max="2566" width="8.42578125" customWidth="1"/>
    <col min="2567" max="2567" width="9.140625" customWidth="1"/>
    <col min="2568" max="2568" width="1.42578125" customWidth="1"/>
    <col min="2817" max="2817" width="3.7109375" customWidth="1"/>
    <col min="2818" max="2818" width="5" customWidth="1"/>
    <col min="2819" max="2819" width="10.28515625" customWidth="1"/>
    <col min="2820" max="2820" width="9.140625" customWidth="1"/>
    <col min="2821" max="2821" width="10.5703125" customWidth="1"/>
    <col min="2822" max="2822" width="8.42578125" customWidth="1"/>
    <col min="2823" max="2823" width="9.140625" customWidth="1"/>
    <col min="2824" max="2824" width="1.42578125" customWidth="1"/>
    <col min="3073" max="3073" width="3.7109375" customWidth="1"/>
    <col min="3074" max="3074" width="5" customWidth="1"/>
    <col min="3075" max="3075" width="10.28515625" customWidth="1"/>
    <col min="3076" max="3076" width="9.140625" customWidth="1"/>
    <col min="3077" max="3077" width="10.5703125" customWidth="1"/>
    <col min="3078" max="3078" width="8.42578125" customWidth="1"/>
    <col min="3079" max="3079" width="9.140625" customWidth="1"/>
    <col min="3080" max="3080" width="1.42578125" customWidth="1"/>
    <col min="3329" max="3329" width="3.7109375" customWidth="1"/>
    <col min="3330" max="3330" width="5" customWidth="1"/>
    <col min="3331" max="3331" width="10.28515625" customWidth="1"/>
    <col min="3332" max="3332" width="9.140625" customWidth="1"/>
    <col min="3333" max="3333" width="10.5703125" customWidth="1"/>
    <col min="3334" max="3334" width="8.42578125" customWidth="1"/>
    <col min="3335" max="3335" width="9.140625" customWidth="1"/>
    <col min="3336" max="3336" width="1.42578125" customWidth="1"/>
    <col min="3585" max="3585" width="3.7109375" customWidth="1"/>
    <col min="3586" max="3586" width="5" customWidth="1"/>
    <col min="3587" max="3587" width="10.28515625" customWidth="1"/>
    <col min="3588" max="3588" width="9.140625" customWidth="1"/>
    <col min="3589" max="3589" width="10.5703125" customWidth="1"/>
    <col min="3590" max="3590" width="8.42578125" customWidth="1"/>
    <col min="3591" max="3591" width="9.140625" customWidth="1"/>
    <col min="3592" max="3592" width="1.42578125" customWidth="1"/>
    <col min="3841" max="3841" width="3.7109375" customWidth="1"/>
    <col min="3842" max="3842" width="5" customWidth="1"/>
    <col min="3843" max="3843" width="10.28515625" customWidth="1"/>
    <col min="3844" max="3844" width="9.140625" customWidth="1"/>
    <col min="3845" max="3845" width="10.5703125" customWidth="1"/>
    <col min="3846" max="3846" width="8.42578125" customWidth="1"/>
    <col min="3847" max="3847" width="9.140625" customWidth="1"/>
    <col min="3848" max="3848" width="1.42578125" customWidth="1"/>
    <col min="4097" max="4097" width="3.7109375" customWidth="1"/>
    <col min="4098" max="4098" width="5" customWidth="1"/>
    <col min="4099" max="4099" width="10.28515625" customWidth="1"/>
    <col min="4100" max="4100" width="9.140625" customWidth="1"/>
    <col min="4101" max="4101" width="10.5703125" customWidth="1"/>
    <col min="4102" max="4102" width="8.42578125" customWidth="1"/>
    <col min="4103" max="4103" width="9.140625" customWidth="1"/>
    <col min="4104" max="4104" width="1.42578125" customWidth="1"/>
    <col min="4353" max="4353" width="3.7109375" customWidth="1"/>
    <col min="4354" max="4354" width="5" customWidth="1"/>
    <col min="4355" max="4355" width="10.28515625" customWidth="1"/>
    <col min="4356" max="4356" width="9.140625" customWidth="1"/>
    <col min="4357" max="4357" width="10.5703125" customWidth="1"/>
    <col min="4358" max="4358" width="8.42578125" customWidth="1"/>
    <col min="4359" max="4359" width="9.140625" customWidth="1"/>
    <col min="4360" max="4360" width="1.42578125" customWidth="1"/>
    <col min="4609" max="4609" width="3.7109375" customWidth="1"/>
    <col min="4610" max="4610" width="5" customWidth="1"/>
    <col min="4611" max="4611" width="10.28515625" customWidth="1"/>
    <col min="4612" max="4612" width="9.140625" customWidth="1"/>
    <col min="4613" max="4613" width="10.5703125" customWidth="1"/>
    <col min="4614" max="4614" width="8.42578125" customWidth="1"/>
    <col min="4615" max="4615" width="9.140625" customWidth="1"/>
    <col min="4616" max="4616" width="1.42578125" customWidth="1"/>
    <col min="4865" max="4865" width="3.7109375" customWidth="1"/>
    <col min="4866" max="4866" width="5" customWidth="1"/>
    <col min="4867" max="4867" width="10.28515625" customWidth="1"/>
    <col min="4868" max="4868" width="9.140625" customWidth="1"/>
    <col min="4869" max="4869" width="10.5703125" customWidth="1"/>
    <col min="4870" max="4870" width="8.42578125" customWidth="1"/>
    <col min="4871" max="4871" width="9.140625" customWidth="1"/>
    <col min="4872" max="4872" width="1.42578125" customWidth="1"/>
    <col min="5121" max="5121" width="3.7109375" customWidth="1"/>
    <col min="5122" max="5122" width="5" customWidth="1"/>
    <col min="5123" max="5123" width="10.28515625" customWidth="1"/>
    <col min="5124" max="5124" width="9.140625" customWidth="1"/>
    <col min="5125" max="5125" width="10.5703125" customWidth="1"/>
    <col min="5126" max="5126" width="8.42578125" customWidth="1"/>
    <col min="5127" max="5127" width="9.140625" customWidth="1"/>
    <col min="5128" max="5128" width="1.42578125" customWidth="1"/>
    <col min="5377" max="5377" width="3.7109375" customWidth="1"/>
    <col min="5378" max="5378" width="5" customWidth="1"/>
    <col min="5379" max="5379" width="10.28515625" customWidth="1"/>
    <col min="5380" max="5380" width="9.140625" customWidth="1"/>
    <col min="5381" max="5381" width="10.5703125" customWidth="1"/>
    <col min="5382" max="5382" width="8.42578125" customWidth="1"/>
    <col min="5383" max="5383" width="9.140625" customWidth="1"/>
    <col min="5384" max="5384" width="1.42578125" customWidth="1"/>
    <col min="5633" max="5633" width="3.7109375" customWidth="1"/>
    <col min="5634" max="5634" width="5" customWidth="1"/>
    <col min="5635" max="5635" width="10.28515625" customWidth="1"/>
    <col min="5636" max="5636" width="9.140625" customWidth="1"/>
    <col min="5637" max="5637" width="10.5703125" customWidth="1"/>
    <col min="5638" max="5638" width="8.42578125" customWidth="1"/>
    <col min="5639" max="5639" width="9.140625" customWidth="1"/>
    <col min="5640" max="5640" width="1.42578125" customWidth="1"/>
    <col min="5889" max="5889" width="3.7109375" customWidth="1"/>
    <col min="5890" max="5890" width="5" customWidth="1"/>
    <col min="5891" max="5891" width="10.28515625" customWidth="1"/>
    <col min="5892" max="5892" width="9.140625" customWidth="1"/>
    <col min="5893" max="5893" width="10.5703125" customWidth="1"/>
    <col min="5894" max="5894" width="8.42578125" customWidth="1"/>
    <col min="5895" max="5895" width="9.140625" customWidth="1"/>
    <col min="5896" max="5896" width="1.42578125" customWidth="1"/>
    <col min="6145" max="6145" width="3.7109375" customWidth="1"/>
    <col min="6146" max="6146" width="5" customWidth="1"/>
    <col min="6147" max="6147" width="10.28515625" customWidth="1"/>
    <col min="6148" max="6148" width="9.140625" customWidth="1"/>
    <col min="6149" max="6149" width="10.5703125" customWidth="1"/>
    <col min="6150" max="6150" width="8.42578125" customWidth="1"/>
    <col min="6151" max="6151" width="9.140625" customWidth="1"/>
    <col min="6152" max="6152" width="1.42578125" customWidth="1"/>
    <col min="6401" max="6401" width="3.7109375" customWidth="1"/>
    <col min="6402" max="6402" width="5" customWidth="1"/>
    <col min="6403" max="6403" width="10.28515625" customWidth="1"/>
    <col min="6404" max="6404" width="9.140625" customWidth="1"/>
    <col min="6405" max="6405" width="10.5703125" customWidth="1"/>
    <col min="6406" max="6406" width="8.42578125" customWidth="1"/>
    <col min="6407" max="6407" width="9.140625" customWidth="1"/>
    <col min="6408" max="6408" width="1.42578125" customWidth="1"/>
    <col min="6657" max="6657" width="3.7109375" customWidth="1"/>
    <col min="6658" max="6658" width="5" customWidth="1"/>
    <col min="6659" max="6659" width="10.28515625" customWidth="1"/>
    <col min="6660" max="6660" width="9.140625" customWidth="1"/>
    <col min="6661" max="6661" width="10.5703125" customWidth="1"/>
    <col min="6662" max="6662" width="8.42578125" customWidth="1"/>
    <col min="6663" max="6663" width="9.140625" customWidth="1"/>
    <col min="6664" max="6664" width="1.42578125" customWidth="1"/>
    <col min="6913" max="6913" width="3.7109375" customWidth="1"/>
    <col min="6914" max="6914" width="5" customWidth="1"/>
    <col min="6915" max="6915" width="10.28515625" customWidth="1"/>
    <col min="6916" max="6916" width="9.140625" customWidth="1"/>
    <col min="6917" max="6917" width="10.5703125" customWidth="1"/>
    <col min="6918" max="6918" width="8.42578125" customWidth="1"/>
    <col min="6919" max="6919" width="9.140625" customWidth="1"/>
    <col min="6920" max="6920" width="1.42578125" customWidth="1"/>
    <col min="7169" max="7169" width="3.7109375" customWidth="1"/>
    <col min="7170" max="7170" width="5" customWidth="1"/>
    <col min="7171" max="7171" width="10.28515625" customWidth="1"/>
    <col min="7172" max="7172" width="9.140625" customWidth="1"/>
    <col min="7173" max="7173" width="10.5703125" customWidth="1"/>
    <col min="7174" max="7174" width="8.42578125" customWidth="1"/>
    <col min="7175" max="7175" width="9.140625" customWidth="1"/>
    <col min="7176" max="7176" width="1.42578125" customWidth="1"/>
    <col min="7425" max="7425" width="3.7109375" customWidth="1"/>
    <col min="7426" max="7426" width="5" customWidth="1"/>
    <col min="7427" max="7427" width="10.28515625" customWidth="1"/>
    <col min="7428" max="7428" width="9.140625" customWidth="1"/>
    <col min="7429" max="7429" width="10.5703125" customWidth="1"/>
    <col min="7430" max="7430" width="8.42578125" customWidth="1"/>
    <col min="7431" max="7431" width="9.140625" customWidth="1"/>
    <col min="7432" max="7432" width="1.42578125" customWidth="1"/>
    <col min="7681" max="7681" width="3.7109375" customWidth="1"/>
    <col min="7682" max="7682" width="5" customWidth="1"/>
    <col min="7683" max="7683" width="10.28515625" customWidth="1"/>
    <col min="7684" max="7684" width="9.140625" customWidth="1"/>
    <col min="7685" max="7685" width="10.5703125" customWidth="1"/>
    <col min="7686" max="7686" width="8.42578125" customWidth="1"/>
    <col min="7687" max="7687" width="9.140625" customWidth="1"/>
    <col min="7688" max="7688" width="1.42578125" customWidth="1"/>
    <col min="7937" max="7937" width="3.7109375" customWidth="1"/>
    <col min="7938" max="7938" width="5" customWidth="1"/>
    <col min="7939" max="7939" width="10.28515625" customWidth="1"/>
    <col min="7940" max="7940" width="9.140625" customWidth="1"/>
    <col min="7941" max="7941" width="10.5703125" customWidth="1"/>
    <col min="7942" max="7942" width="8.42578125" customWidth="1"/>
    <col min="7943" max="7943" width="9.140625" customWidth="1"/>
    <col min="7944" max="7944" width="1.42578125" customWidth="1"/>
    <col min="8193" max="8193" width="3.7109375" customWidth="1"/>
    <col min="8194" max="8194" width="5" customWidth="1"/>
    <col min="8195" max="8195" width="10.28515625" customWidth="1"/>
    <col min="8196" max="8196" width="9.140625" customWidth="1"/>
    <col min="8197" max="8197" width="10.5703125" customWidth="1"/>
    <col min="8198" max="8198" width="8.42578125" customWidth="1"/>
    <col min="8199" max="8199" width="9.140625" customWidth="1"/>
    <col min="8200" max="8200" width="1.42578125" customWidth="1"/>
    <col min="8449" max="8449" width="3.7109375" customWidth="1"/>
    <col min="8450" max="8450" width="5" customWidth="1"/>
    <col min="8451" max="8451" width="10.28515625" customWidth="1"/>
    <col min="8452" max="8452" width="9.140625" customWidth="1"/>
    <col min="8453" max="8453" width="10.5703125" customWidth="1"/>
    <col min="8454" max="8454" width="8.42578125" customWidth="1"/>
    <col min="8455" max="8455" width="9.140625" customWidth="1"/>
    <col min="8456" max="8456" width="1.42578125" customWidth="1"/>
    <col min="8705" max="8705" width="3.7109375" customWidth="1"/>
    <col min="8706" max="8706" width="5" customWidth="1"/>
    <col min="8707" max="8707" width="10.28515625" customWidth="1"/>
    <col min="8708" max="8708" width="9.140625" customWidth="1"/>
    <col min="8709" max="8709" width="10.5703125" customWidth="1"/>
    <col min="8710" max="8710" width="8.42578125" customWidth="1"/>
    <col min="8711" max="8711" width="9.140625" customWidth="1"/>
    <col min="8712" max="8712" width="1.42578125" customWidth="1"/>
    <col min="8961" max="8961" width="3.7109375" customWidth="1"/>
    <col min="8962" max="8962" width="5" customWidth="1"/>
    <col min="8963" max="8963" width="10.28515625" customWidth="1"/>
    <col min="8964" max="8964" width="9.140625" customWidth="1"/>
    <col min="8965" max="8965" width="10.5703125" customWidth="1"/>
    <col min="8966" max="8966" width="8.42578125" customWidth="1"/>
    <col min="8967" max="8967" width="9.140625" customWidth="1"/>
    <col min="8968" max="8968" width="1.42578125" customWidth="1"/>
    <col min="9217" max="9217" width="3.7109375" customWidth="1"/>
    <col min="9218" max="9218" width="5" customWidth="1"/>
    <col min="9219" max="9219" width="10.28515625" customWidth="1"/>
    <col min="9220" max="9220" width="9.140625" customWidth="1"/>
    <col min="9221" max="9221" width="10.5703125" customWidth="1"/>
    <col min="9222" max="9222" width="8.42578125" customWidth="1"/>
    <col min="9223" max="9223" width="9.140625" customWidth="1"/>
    <col min="9224" max="9224" width="1.42578125" customWidth="1"/>
    <col min="9473" max="9473" width="3.7109375" customWidth="1"/>
    <col min="9474" max="9474" width="5" customWidth="1"/>
    <col min="9475" max="9475" width="10.28515625" customWidth="1"/>
    <col min="9476" max="9476" width="9.140625" customWidth="1"/>
    <col min="9477" max="9477" width="10.5703125" customWidth="1"/>
    <col min="9478" max="9478" width="8.42578125" customWidth="1"/>
    <col min="9479" max="9479" width="9.140625" customWidth="1"/>
    <col min="9480" max="9480" width="1.42578125" customWidth="1"/>
    <col min="9729" max="9729" width="3.7109375" customWidth="1"/>
    <col min="9730" max="9730" width="5" customWidth="1"/>
    <col min="9731" max="9731" width="10.28515625" customWidth="1"/>
    <col min="9732" max="9732" width="9.140625" customWidth="1"/>
    <col min="9733" max="9733" width="10.5703125" customWidth="1"/>
    <col min="9734" max="9734" width="8.42578125" customWidth="1"/>
    <col min="9735" max="9735" width="9.140625" customWidth="1"/>
    <col min="9736" max="9736" width="1.42578125" customWidth="1"/>
    <col min="9985" max="9985" width="3.7109375" customWidth="1"/>
    <col min="9986" max="9986" width="5" customWidth="1"/>
    <col min="9987" max="9987" width="10.28515625" customWidth="1"/>
    <col min="9988" max="9988" width="9.140625" customWidth="1"/>
    <col min="9989" max="9989" width="10.5703125" customWidth="1"/>
    <col min="9990" max="9990" width="8.42578125" customWidth="1"/>
    <col min="9991" max="9991" width="9.140625" customWidth="1"/>
    <col min="9992" max="9992" width="1.42578125" customWidth="1"/>
    <col min="10241" max="10241" width="3.7109375" customWidth="1"/>
    <col min="10242" max="10242" width="5" customWidth="1"/>
    <col min="10243" max="10243" width="10.28515625" customWidth="1"/>
    <col min="10244" max="10244" width="9.140625" customWidth="1"/>
    <col min="10245" max="10245" width="10.5703125" customWidth="1"/>
    <col min="10246" max="10246" width="8.42578125" customWidth="1"/>
    <col min="10247" max="10247" width="9.140625" customWidth="1"/>
    <col min="10248" max="10248" width="1.42578125" customWidth="1"/>
    <col min="10497" max="10497" width="3.7109375" customWidth="1"/>
    <col min="10498" max="10498" width="5" customWidth="1"/>
    <col min="10499" max="10499" width="10.28515625" customWidth="1"/>
    <col min="10500" max="10500" width="9.140625" customWidth="1"/>
    <col min="10501" max="10501" width="10.5703125" customWidth="1"/>
    <col min="10502" max="10502" width="8.42578125" customWidth="1"/>
    <col min="10503" max="10503" width="9.140625" customWidth="1"/>
    <col min="10504" max="10504" width="1.42578125" customWidth="1"/>
    <col min="10753" max="10753" width="3.7109375" customWidth="1"/>
    <col min="10754" max="10754" width="5" customWidth="1"/>
    <col min="10755" max="10755" width="10.28515625" customWidth="1"/>
    <col min="10756" max="10756" width="9.140625" customWidth="1"/>
    <col min="10757" max="10757" width="10.5703125" customWidth="1"/>
    <col min="10758" max="10758" width="8.42578125" customWidth="1"/>
    <col min="10759" max="10759" width="9.140625" customWidth="1"/>
    <col min="10760" max="10760" width="1.42578125" customWidth="1"/>
    <col min="11009" max="11009" width="3.7109375" customWidth="1"/>
    <col min="11010" max="11010" width="5" customWidth="1"/>
    <col min="11011" max="11011" width="10.28515625" customWidth="1"/>
    <col min="11012" max="11012" width="9.140625" customWidth="1"/>
    <col min="11013" max="11013" width="10.5703125" customWidth="1"/>
    <col min="11014" max="11014" width="8.42578125" customWidth="1"/>
    <col min="11015" max="11015" width="9.140625" customWidth="1"/>
    <col min="11016" max="11016" width="1.42578125" customWidth="1"/>
    <col min="11265" max="11265" width="3.7109375" customWidth="1"/>
    <col min="11266" max="11266" width="5" customWidth="1"/>
    <col min="11267" max="11267" width="10.28515625" customWidth="1"/>
    <col min="11268" max="11268" width="9.140625" customWidth="1"/>
    <col min="11269" max="11269" width="10.5703125" customWidth="1"/>
    <col min="11270" max="11270" width="8.42578125" customWidth="1"/>
    <col min="11271" max="11271" width="9.140625" customWidth="1"/>
    <col min="11272" max="11272" width="1.42578125" customWidth="1"/>
    <col min="11521" max="11521" width="3.7109375" customWidth="1"/>
    <col min="11522" max="11522" width="5" customWidth="1"/>
    <col min="11523" max="11523" width="10.28515625" customWidth="1"/>
    <col min="11524" max="11524" width="9.140625" customWidth="1"/>
    <col min="11525" max="11525" width="10.5703125" customWidth="1"/>
    <col min="11526" max="11526" width="8.42578125" customWidth="1"/>
    <col min="11527" max="11527" width="9.140625" customWidth="1"/>
    <col min="11528" max="11528" width="1.42578125" customWidth="1"/>
    <col min="11777" max="11777" width="3.7109375" customWidth="1"/>
    <col min="11778" max="11778" width="5" customWidth="1"/>
    <col min="11779" max="11779" width="10.28515625" customWidth="1"/>
    <col min="11780" max="11780" width="9.140625" customWidth="1"/>
    <col min="11781" max="11781" width="10.5703125" customWidth="1"/>
    <col min="11782" max="11782" width="8.42578125" customWidth="1"/>
    <col min="11783" max="11783" width="9.140625" customWidth="1"/>
    <col min="11784" max="11784" width="1.42578125" customWidth="1"/>
    <col min="12033" max="12033" width="3.7109375" customWidth="1"/>
    <col min="12034" max="12034" width="5" customWidth="1"/>
    <col min="12035" max="12035" width="10.28515625" customWidth="1"/>
    <col min="12036" max="12036" width="9.140625" customWidth="1"/>
    <col min="12037" max="12037" width="10.5703125" customWidth="1"/>
    <col min="12038" max="12038" width="8.42578125" customWidth="1"/>
    <col min="12039" max="12039" width="9.140625" customWidth="1"/>
    <col min="12040" max="12040" width="1.42578125" customWidth="1"/>
    <col min="12289" max="12289" width="3.7109375" customWidth="1"/>
    <col min="12290" max="12290" width="5" customWidth="1"/>
    <col min="12291" max="12291" width="10.28515625" customWidth="1"/>
    <col min="12292" max="12292" width="9.140625" customWidth="1"/>
    <col min="12293" max="12293" width="10.5703125" customWidth="1"/>
    <col min="12294" max="12294" width="8.42578125" customWidth="1"/>
    <col min="12295" max="12295" width="9.140625" customWidth="1"/>
    <col min="12296" max="12296" width="1.42578125" customWidth="1"/>
    <col min="12545" max="12545" width="3.7109375" customWidth="1"/>
    <col min="12546" max="12546" width="5" customWidth="1"/>
    <col min="12547" max="12547" width="10.28515625" customWidth="1"/>
    <col min="12548" max="12548" width="9.140625" customWidth="1"/>
    <col min="12549" max="12549" width="10.5703125" customWidth="1"/>
    <col min="12550" max="12550" width="8.42578125" customWidth="1"/>
    <col min="12551" max="12551" width="9.140625" customWidth="1"/>
    <col min="12552" max="12552" width="1.42578125" customWidth="1"/>
    <col min="12801" max="12801" width="3.7109375" customWidth="1"/>
    <col min="12802" max="12802" width="5" customWidth="1"/>
    <col min="12803" max="12803" width="10.28515625" customWidth="1"/>
    <col min="12804" max="12804" width="9.140625" customWidth="1"/>
    <col min="12805" max="12805" width="10.5703125" customWidth="1"/>
    <col min="12806" max="12806" width="8.42578125" customWidth="1"/>
    <col min="12807" max="12807" width="9.140625" customWidth="1"/>
    <col min="12808" max="12808" width="1.42578125" customWidth="1"/>
    <col min="13057" max="13057" width="3.7109375" customWidth="1"/>
    <col min="13058" max="13058" width="5" customWidth="1"/>
    <col min="13059" max="13059" width="10.28515625" customWidth="1"/>
    <col min="13060" max="13060" width="9.140625" customWidth="1"/>
    <col min="13061" max="13061" width="10.5703125" customWidth="1"/>
    <col min="13062" max="13062" width="8.42578125" customWidth="1"/>
    <col min="13063" max="13063" width="9.140625" customWidth="1"/>
    <col min="13064" max="13064" width="1.42578125" customWidth="1"/>
    <col min="13313" max="13313" width="3.7109375" customWidth="1"/>
    <col min="13314" max="13314" width="5" customWidth="1"/>
    <col min="13315" max="13315" width="10.28515625" customWidth="1"/>
    <col min="13316" max="13316" width="9.140625" customWidth="1"/>
    <col min="13317" max="13317" width="10.5703125" customWidth="1"/>
    <col min="13318" max="13318" width="8.42578125" customWidth="1"/>
    <col min="13319" max="13319" width="9.140625" customWidth="1"/>
    <col min="13320" max="13320" width="1.42578125" customWidth="1"/>
    <col min="13569" max="13569" width="3.7109375" customWidth="1"/>
    <col min="13570" max="13570" width="5" customWidth="1"/>
    <col min="13571" max="13571" width="10.28515625" customWidth="1"/>
    <col min="13572" max="13572" width="9.140625" customWidth="1"/>
    <col min="13573" max="13573" width="10.5703125" customWidth="1"/>
    <col min="13574" max="13574" width="8.42578125" customWidth="1"/>
    <col min="13575" max="13575" width="9.140625" customWidth="1"/>
    <col min="13576" max="13576" width="1.42578125" customWidth="1"/>
    <col min="13825" max="13825" width="3.7109375" customWidth="1"/>
    <col min="13826" max="13826" width="5" customWidth="1"/>
    <col min="13827" max="13827" width="10.28515625" customWidth="1"/>
    <col min="13828" max="13828" width="9.140625" customWidth="1"/>
    <col min="13829" max="13829" width="10.5703125" customWidth="1"/>
    <col min="13830" max="13830" width="8.42578125" customWidth="1"/>
    <col min="13831" max="13831" width="9.140625" customWidth="1"/>
    <col min="13832" max="13832" width="1.42578125" customWidth="1"/>
    <col min="14081" max="14081" width="3.7109375" customWidth="1"/>
    <col min="14082" max="14082" width="5" customWidth="1"/>
    <col min="14083" max="14083" width="10.28515625" customWidth="1"/>
    <col min="14084" max="14084" width="9.140625" customWidth="1"/>
    <col min="14085" max="14085" width="10.5703125" customWidth="1"/>
    <col min="14086" max="14086" width="8.42578125" customWidth="1"/>
    <col min="14087" max="14087" width="9.140625" customWidth="1"/>
    <col min="14088" max="14088" width="1.42578125" customWidth="1"/>
    <col min="14337" max="14337" width="3.7109375" customWidth="1"/>
    <col min="14338" max="14338" width="5" customWidth="1"/>
    <col min="14339" max="14339" width="10.28515625" customWidth="1"/>
    <col min="14340" max="14340" width="9.140625" customWidth="1"/>
    <col min="14341" max="14341" width="10.5703125" customWidth="1"/>
    <col min="14342" max="14342" width="8.42578125" customWidth="1"/>
    <col min="14343" max="14343" width="9.140625" customWidth="1"/>
    <col min="14344" max="14344" width="1.42578125" customWidth="1"/>
    <col min="14593" max="14593" width="3.7109375" customWidth="1"/>
    <col min="14594" max="14594" width="5" customWidth="1"/>
    <col min="14595" max="14595" width="10.28515625" customWidth="1"/>
    <col min="14596" max="14596" width="9.140625" customWidth="1"/>
    <col min="14597" max="14597" width="10.5703125" customWidth="1"/>
    <col min="14598" max="14598" width="8.42578125" customWidth="1"/>
    <col min="14599" max="14599" width="9.140625" customWidth="1"/>
    <col min="14600" max="14600" width="1.42578125" customWidth="1"/>
    <col min="14849" max="14849" width="3.7109375" customWidth="1"/>
    <col min="14850" max="14850" width="5" customWidth="1"/>
    <col min="14851" max="14851" width="10.28515625" customWidth="1"/>
    <col min="14852" max="14852" width="9.140625" customWidth="1"/>
    <col min="14853" max="14853" width="10.5703125" customWidth="1"/>
    <col min="14854" max="14854" width="8.42578125" customWidth="1"/>
    <col min="14855" max="14855" width="9.140625" customWidth="1"/>
    <col min="14856" max="14856" width="1.42578125" customWidth="1"/>
    <col min="15105" max="15105" width="3.7109375" customWidth="1"/>
    <col min="15106" max="15106" width="5" customWidth="1"/>
    <col min="15107" max="15107" width="10.28515625" customWidth="1"/>
    <col min="15108" max="15108" width="9.140625" customWidth="1"/>
    <col min="15109" max="15109" width="10.5703125" customWidth="1"/>
    <col min="15110" max="15110" width="8.42578125" customWidth="1"/>
    <col min="15111" max="15111" width="9.140625" customWidth="1"/>
    <col min="15112" max="15112" width="1.42578125" customWidth="1"/>
    <col min="15361" max="15361" width="3.7109375" customWidth="1"/>
    <col min="15362" max="15362" width="5" customWidth="1"/>
    <col min="15363" max="15363" width="10.28515625" customWidth="1"/>
    <col min="15364" max="15364" width="9.140625" customWidth="1"/>
    <col min="15365" max="15365" width="10.5703125" customWidth="1"/>
    <col min="15366" max="15366" width="8.42578125" customWidth="1"/>
    <col min="15367" max="15367" width="9.140625" customWidth="1"/>
    <col min="15368" max="15368" width="1.42578125" customWidth="1"/>
    <col min="15617" max="15617" width="3.7109375" customWidth="1"/>
    <col min="15618" max="15618" width="5" customWidth="1"/>
    <col min="15619" max="15619" width="10.28515625" customWidth="1"/>
    <col min="15620" max="15620" width="9.140625" customWidth="1"/>
    <col min="15621" max="15621" width="10.5703125" customWidth="1"/>
    <col min="15622" max="15622" width="8.42578125" customWidth="1"/>
    <col min="15623" max="15623" width="9.140625" customWidth="1"/>
    <col min="15624" max="15624" width="1.42578125" customWidth="1"/>
    <col min="15873" max="15873" width="3.7109375" customWidth="1"/>
    <col min="15874" max="15874" width="5" customWidth="1"/>
    <col min="15875" max="15875" width="10.28515625" customWidth="1"/>
    <col min="15876" max="15876" width="9.140625" customWidth="1"/>
    <col min="15877" max="15877" width="10.5703125" customWidth="1"/>
    <col min="15878" max="15878" width="8.42578125" customWidth="1"/>
    <col min="15879" max="15879" width="9.140625" customWidth="1"/>
    <col min="15880" max="15880" width="1.42578125" customWidth="1"/>
    <col min="16129" max="16129" width="3.7109375" customWidth="1"/>
    <col min="16130" max="16130" width="5" customWidth="1"/>
    <col min="16131" max="16131" width="10.28515625" customWidth="1"/>
    <col min="16132" max="16132" width="9.140625" customWidth="1"/>
    <col min="16133" max="16133" width="10.5703125" customWidth="1"/>
    <col min="16134" max="16134" width="8.42578125" customWidth="1"/>
    <col min="16135" max="16135" width="9.140625" customWidth="1"/>
    <col min="16136" max="16136" width="1.42578125" customWidth="1"/>
  </cols>
  <sheetData>
    <row r="1" spans="1:20" ht="30" x14ac:dyDescent="0.25">
      <c r="A1" s="31"/>
      <c r="B1" s="89" t="s">
        <v>45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32"/>
      <c r="T1" s="32"/>
    </row>
    <row r="2" spans="1:20" ht="6" customHeight="1" x14ac:dyDescent="0.25">
      <c r="A2" s="31"/>
      <c r="B2" s="33"/>
      <c r="C2" s="33"/>
      <c r="D2" s="33"/>
      <c r="E2" s="33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5" customHeight="1" x14ac:dyDescent="0.25">
      <c r="A3" s="31"/>
      <c r="B3" s="34"/>
      <c r="C3" s="91" t="s">
        <v>46</v>
      </c>
      <c r="D3" s="92"/>
      <c r="E3" s="91" t="s">
        <v>47</v>
      </c>
      <c r="F3" s="92"/>
      <c r="G3" s="93" t="s">
        <v>48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x14ac:dyDescent="0.25">
      <c r="A4" s="31"/>
      <c r="B4" s="35" t="s">
        <v>49</v>
      </c>
      <c r="C4" s="36" t="s">
        <v>50</v>
      </c>
      <c r="D4" s="37" t="s">
        <v>51</v>
      </c>
      <c r="E4" s="36" t="s">
        <v>50</v>
      </c>
      <c r="F4" s="37" t="s">
        <v>51</v>
      </c>
      <c r="G4" s="94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x14ac:dyDescent="0.25">
      <c r="A5" s="31"/>
      <c r="B5" s="38">
        <v>0</v>
      </c>
      <c r="C5" s="39"/>
      <c r="D5" s="39"/>
      <c r="E5" s="40">
        <v>0</v>
      </c>
      <c r="F5" s="41">
        <v>0</v>
      </c>
      <c r="G5" s="42" t="str">
        <f>IF(D5="","N/A",D5)</f>
        <v>N/A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x14ac:dyDescent="0.25">
      <c r="A6" s="31"/>
      <c r="B6" s="38">
        <v>1</v>
      </c>
      <c r="C6" s="50">
        <f>E5/10</f>
        <v>0</v>
      </c>
      <c r="D6" s="39">
        <v>0</v>
      </c>
      <c r="E6" s="40">
        <f>$E$5-SUM($C$6:C6)</f>
        <v>0</v>
      </c>
      <c r="F6" s="41">
        <f>IF(D6="",NA(),$F$5-SUM($D$6:D6))</f>
        <v>0</v>
      </c>
      <c r="G6" s="42">
        <f t="shared" ref="G6:G13" si="0">IF(D6="","N/A",D6)</f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x14ac:dyDescent="0.25">
      <c r="A7" s="31"/>
      <c r="B7" s="38">
        <v>2</v>
      </c>
      <c r="C7" s="50">
        <v>0</v>
      </c>
      <c r="D7" s="39">
        <v>0</v>
      </c>
      <c r="E7" s="40">
        <f>$E$5-SUM($C$6:C7)</f>
        <v>0</v>
      </c>
      <c r="F7" s="41">
        <f>IF(D7="",NA(),$F$5-SUM($D$6:D7))</f>
        <v>0</v>
      </c>
      <c r="G7" s="42">
        <f t="shared" si="0"/>
        <v>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x14ac:dyDescent="0.25">
      <c r="A8" s="31"/>
      <c r="B8" s="38">
        <v>3</v>
      </c>
      <c r="C8" s="50">
        <v>0</v>
      </c>
      <c r="D8" s="39">
        <v>0</v>
      </c>
      <c r="E8" s="40">
        <f>$E$5-SUM($C$6:C8)</f>
        <v>0</v>
      </c>
      <c r="F8" s="41">
        <f>IF(D8="",NA(),$F$5-SUM($D$6:D8))</f>
        <v>0</v>
      </c>
      <c r="G8" s="42">
        <f t="shared" si="0"/>
        <v>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x14ac:dyDescent="0.25">
      <c r="A9" s="31"/>
      <c r="B9" s="38">
        <v>4</v>
      </c>
      <c r="C9" s="50">
        <v>0</v>
      </c>
      <c r="D9" s="39">
        <v>0</v>
      </c>
      <c r="E9" s="40">
        <f>$E$5-SUM($C$6:C9)</f>
        <v>0</v>
      </c>
      <c r="F9" s="41">
        <f>IF(D9="",NA(),$F$5-SUM($D$6:D9))</f>
        <v>0</v>
      </c>
      <c r="G9" s="42">
        <f t="shared" si="0"/>
        <v>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x14ac:dyDescent="0.25">
      <c r="A10" s="31"/>
      <c r="B10" s="38">
        <v>5</v>
      </c>
      <c r="C10" s="50">
        <v>0</v>
      </c>
      <c r="D10" s="39">
        <v>0</v>
      </c>
      <c r="E10" s="40">
        <f>$E$5-SUM($C$6:C10)</f>
        <v>0</v>
      </c>
      <c r="F10" s="41">
        <f>IF(D10="",NA(),$F$5-SUM($D$6:D10))</f>
        <v>0</v>
      </c>
      <c r="G10" s="42">
        <f t="shared" si="0"/>
        <v>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x14ac:dyDescent="0.25">
      <c r="A11" s="31"/>
      <c r="B11" s="38">
        <v>6</v>
      </c>
      <c r="C11" s="50">
        <v>0</v>
      </c>
      <c r="D11" s="39">
        <v>0</v>
      </c>
      <c r="E11" s="40">
        <f>$E$5-SUM($C$6:C11)</f>
        <v>0</v>
      </c>
      <c r="F11" s="41">
        <f>IF(D11="",NA(),$F$5-SUM($D$6:D11))</f>
        <v>0</v>
      </c>
      <c r="G11" s="42">
        <f t="shared" si="0"/>
        <v>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x14ac:dyDescent="0.25">
      <c r="A12" s="31"/>
      <c r="B12" s="38">
        <v>7</v>
      </c>
      <c r="C12" s="50">
        <v>0</v>
      </c>
      <c r="D12" s="39">
        <v>0</v>
      </c>
      <c r="E12" s="40">
        <f>$E$5-SUM($C$6:C12)</f>
        <v>0</v>
      </c>
      <c r="F12" s="41">
        <f>IF(D12="",NA(),$F$5-SUM($D$6:D12))</f>
        <v>0</v>
      </c>
      <c r="G12" s="42">
        <f t="shared" si="0"/>
        <v>0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x14ac:dyDescent="0.25">
      <c r="A13" s="31"/>
      <c r="B13" s="38">
        <v>8</v>
      </c>
      <c r="C13" s="50">
        <v>0</v>
      </c>
      <c r="D13" s="39">
        <v>0</v>
      </c>
      <c r="E13" s="40">
        <f>$E$5-SUM($C$6:C13)</f>
        <v>0</v>
      </c>
      <c r="F13" s="41">
        <f>IF(D13="",NA(),$F$5-SUM($D$6:D13))</f>
        <v>0</v>
      </c>
      <c r="G13" s="42">
        <f t="shared" si="0"/>
        <v>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x14ac:dyDescent="0.25">
      <c r="A14" s="31"/>
      <c r="B14" s="38">
        <v>9</v>
      </c>
      <c r="C14" s="50">
        <v>0</v>
      </c>
      <c r="D14" s="39">
        <v>0</v>
      </c>
      <c r="E14" s="40">
        <f>$E$5-SUM($C$6:C14)</f>
        <v>0</v>
      </c>
      <c r="F14" s="41">
        <f>IF(D14="",NA(),$F$5-SUM($D$6:D14))</f>
        <v>0</v>
      </c>
      <c r="G14" s="42">
        <f t="shared" ref="G14:G15" si="1">IF(D14="","N/A",D14)</f>
        <v>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x14ac:dyDescent="0.25">
      <c r="A15" s="31"/>
      <c r="B15" s="38">
        <v>10</v>
      </c>
      <c r="C15" s="50">
        <v>0</v>
      </c>
      <c r="D15" s="39">
        <v>0</v>
      </c>
      <c r="E15" s="40">
        <f>$E$5-SUM($C$6:C15)</f>
        <v>0</v>
      </c>
      <c r="F15" s="41">
        <f>IF(D15="",NA(),$F$5-SUM($D$6:D15))</f>
        <v>0</v>
      </c>
      <c r="G15" s="42">
        <f t="shared" si="1"/>
        <v>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1:20" x14ac:dyDescent="0.25">
      <c r="A16" s="31"/>
      <c r="B16" s="38"/>
      <c r="C16" s="49"/>
      <c r="D16" s="39"/>
      <c r="E16" s="40"/>
      <c r="F16" s="41"/>
      <c r="G16" s="4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x14ac:dyDescent="0.25">
      <c r="A17" s="31"/>
      <c r="B17" s="38"/>
      <c r="C17" s="39"/>
      <c r="D17" s="39"/>
      <c r="E17" s="40"/>
      <c r="F17" s="41"/>
      <c r="G17" s="4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x14ac:dyDescent="0.25">
      <c r="A18" s="31"/>
      <c r="B18" s="38"/>
      <c r="C18" s="39"/>
      <c r="D18" s="39"/>
      <c r="E18" s="40"/>
      <c r="F18" s="41"/>
      <c r="G18" s="4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25">
      <c r="A19" s="31"/>
      <c r="B19" s="38"/>
      <c r="C19" s="39"/>
      <c r="D19" s="39"/>
      <c r="E19" s="40"/>
      <c r="F19" s="41"/>
      <c r="G19" s="4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25">
      <c r="A20" s="31"/>
      <c r="B20" s="38"/>
      <c r="C20" s="39"/>
      <c r="D20" s="39"/>
      <c r="E20" s="40"/>
      <c r="F20" s="41"/>
      <c r="G20" s="4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x14ac:dyDescent="0.25">
      <c r="A21" s="31"/>
      <c r="B21" s="38"/>
      <c r="C21" s="39"/>
      <c r="D21" s="39"/>
      <c r="E21" s="40"/>
      <c r="F21" s="41"/>
      <c r="G21" s="4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x14ac:dyDescent="0.25">
      <c r="A22" s="31"/>
      <c r="B22" s="38"/>
      <c r="C22" s="39"/>
      <c r="D22" s="39"/>
      <c r="E22" s="40"/>
      <c r="F22" s="41"/>
      <c r="G22" s="4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x14ac:dyDescent="0.25">
      <c r="A23" s="31"/>
      <c r="B23" s="38"/>
      <c r="C23" s="39"/>
      <c r="D23" s="39"/>
      <c r="E23" s="40"/>
      <c r="F23" s="41"/>
      <c r="G23" s="4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x14ac:dyDescent="0.25">
      <c r="A24" s="31"/>
      <c r="B24" s="38"/>
      <c r="C24" s="39"/>
      <c r="D24" s="39"/>
      <c r="E24" s="40"/>
      <c r="F24" s="41"/>
      <c r="G24" s="4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x14ac:dyDescent="0.25">
      <c r="A25" s="31"/>
      <c r="B25" s="43"/>
      <c r="C25" s="44"/>
      <c r="D25" s="39"/>
      <c r="E25" s="45"/>
      <c r="F25" s="46"/>
      <c r="G25" s="4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x14ac:dyDescent="0.25">
      <c r="A26" s="31"/>
      <c r="B26" s="33"/>
      <c r="C26" s="33"/>
      <c r="D26" s="33"/>
      <c r="E26" s="33"/>
      <c r="F26" s="33"/>
      <c r="G26" s="33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1:20" x14ac:dyDescent="0.25">
      <c r="A27" s="31"/>
      <c r="B27" s="33"/>
      <c r="C27" s="33"/>
      <c r="D27" s="33"/>
      <c r="E27" s="33"/>
      <c r="F27" s="33"/>
      <c r="G27" s="33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spans="1:20" x14ac:dyDescent="0.25">
      <c r="A28" s="31"/>
      <c r="B28" s="33"/>
      <c r="C28" s="33"/>
      <c r="D28" s="33"/>
      <c r="E28" s="33"/>
      <c r="F28" s="33"/>
      <c r="G28" s="33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x14ac:dyDescent="0.25">
      <c r="A29" s="31"/>
      <c r="B29" s="33"/>
      <c r="C29" s="33"/>
      <c r="D29" s="33"/>
      <c r="E29" s="33"/>
      <c r="F29" s="33"/>
      <c r="G29" s="33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spans="1:20" x14ac:dyDescent="0.25">
      <c r="A30" s="31"/>
      <c r="B30" s="33"/>
      <c r="C30" s="33"/>
      <c r="D30" s="33"/>
      <c r="E30" s="33"/>
      <c r="F30" s="33"/>
      <c r="G30" s="33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</sheetData>
  <mergeCells count="4">
    <mergeCell ref="B1:R1"/>
    <mergeCell ref="C3:D3"/>
    <mergeCell ref="E3:F3"/>
    <mergeCell ref="G3:G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1 INTRODUCCION</vt:lpstr>
      <vt:lpstr>2 Roles</vt:lpstr>
      <vt:lpstr>3 Product Backlog</vt:lpstr>
      <vt:lpstr>4 Criterio de Aceptación</vt:lpstr>
      <vt:lpstr>5 Sprints</vt:lpstr>
      <vt:lpstr>6 ESTIMACION - PRODUCT BACKLOG</vt:lpstr>
      <vt:lpstr>7 SEGUIMIENTO -SPRINT BACKLOG01</vt:lpstr>
      <vt:lpstr>DIA 1</vt:lpstr>
      <vt:lpstr>Burndown Chart01</vt:lpstr>
      <vt:lpstr>'3 Product Backlog'!Área_de_impresión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2025-10-29T22:36:57Z</dcterms:modified>
</cp:coreProperties>
</file>